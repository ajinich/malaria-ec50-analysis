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sdcloud-my.sharepoint.com/personal/j5hsiao_ucsd_edu/Documents/Grad/Winzeler Lab/Minibinder Project - Jinich Lab/"/>
    </mc:Choice>
  </mc:AlternateContent>
  <xr:revisionPtr revIDLastSave="87" documentId="8_{AC1A91E2-D848-484C-B389-ECE81CA89349}" xr6:coauthVersionLast="47" xr6:coauthVersionMax="47" xr10:uidLastSave="{A18DF46E-55C6-8D4B-931B-AEA7E812FE67}"/>
  <bookViews>
    <workbookView xWindow="0" yWindow="760" windowWidth="30240" windowHeight="18880" xr2:uid="{EFF49C44-5635-E74F-B86D-C718D03F6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B39" i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B38" i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B37" i="1"/>
  <c r="C37" i="1" s="1"/>
  <c r="D37" i="1" s="1"/>
  <c r="E37" i="1" s="1"/>
  <c r="F37" i="1" s="1"/>
  <c r="G37" i="1" s="1"/>
  <c r="H37" i="1" s="1"/>
  <c r="I37" i="1" s="1"/>
  <c r="J37" i="1" s="1"/>
  <c r="K37" i="1" s="1"/>
  <c r="L37" i="1" s="1"/>
  <c r="F65" i="1"/>
  <c r="C65" i="1"/>
  <c r="N29" i="1" l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AF393" i="1" a="1"/>
  <c r="AF393" i="1" s="1"/>
  <c r="AE393" i="1" a="1"/>
  <c r="AE393" i="1" s="1"/>
  <c r="AF392" i="1" a="1"/>
  <c r="AF392" i="1" s="1"/>
  <c r="AC392" i="1" a="1"/>
  <c r="AC392" i="1" s="1"/>
  <c r="AF391" i="1" a="1"/>
  <c r="AF391" i="1" s="1"/>
  <c r="AC391" i="1" a="1"/>
  <c r="AC391" i="1" s="1"/>
  <c r="AF390" i="1" a="1"/>
  <c r="AF390" i="1" s="1"/>
  <c r="AC390" i="1" a="1"/>
  <c r="AC390" i="1" s="1"/>
  <c r="AF389" i="1" a="1"/>
  <c r="AF389" i="1" s="1"/>
  <c r="AC389" i="1" a="1"/>
  <c r="AC389" i="1" s="1"/>
  <c r="AF388" i="1" a="1"/>
  <c r="AF388" i="1" s="1"/>
  <c r="AC388" i="1" a="1"/>
  <c r="AC388" i="1" s="1"/>
  <c r="AF387" i="1" a="1"/>
  <c r="AF387" i="1" s="1"/>
  <c r="AC387" i="1"/>
  <c r="AC387" i="1" a="1"/>
  <c r="AF386" i="1" a="1"/>
  <c r="AF386" i="1" s="1"/>
  <c r="AC386" i="1"/>
  <c r="AC386" i="1" a="1"/>
  <c r="AF385" i="1" a="1"/>
  <c r="AF385" i="1" s="1"/>
  <c r="AC385" i="1" a="1"/>
  <c r="AC385" i="1" s="1"/>
  <c r="AF384" i="1" a="1"/>
  <c r="AF384" i="1" s="1"/>
  <c r="AC384" i="1" a="1"/>
  <c r="AC384" i="1" s="1"/>
  <c r="AF383" i="1" a="1"/>
  <c r="AF383" i="1" s="1"/>
  <c r="AC383" i="1" a="1"/>
  <c r="AC383" i="1" s="1"/>
  <c r="AF382" i="1" a="1"/>
  <c r="AF382" i="1" s="1"/>
  <c r="AC382" i="1" a="1"/>
  <c r="AC382" i="1" s="1"/>
  <c r="AF381" i="1" a="1"/>
  <c r="AF381" i="1" s="1"/>
  <c r="AE381" i="1" a="1"/>
  <c r="AE381" i="1" s="1"/>
  <c r="AF380" i="1" a="1"/>
  <c r="AF380" i="1" s="1"/>
  <c r="AC380" i="1" a="1"/>
  <c r="AC380" i="1" s="1"/>
  <c r="AF379" i="1" a="1"/>
  <c r="AF379" i="1" s="1"/>
  <c r="AC379" i="1" a="1"/>
  <c r="AC379" i="1" s="1"/>
  <c r="AF378" i="1" a="1"/>
  <c r="AF378" i="1" s="1"/>
  <c r="AC378" i="1"/>
  <c r="AC378" i="1" a="1"/>
  <c r="AF377" i="1" a="1"/>
  <c r="AF377" i="1" s="1"/>
  <c r="AC377" i="1" a="1"/>
  <c r="AC377" i="1" s="1"/>
  <c r="AF376" i="1" a="1"/>
  <c r="AF376" i="1" s="1"/>
  <c r="AC376" i="1" a="1"/>
  <c r="AC376" i="1" s="1"/>
  <c r="AF375" i="1" a="1"/>
  <c r="AF375" i="1" s="1"/>
  <c r="AC375" i="1" a="1"/>
  <c r="AC375" i="1" s="1"/>
  <c r="AF374" i="1" a="1"/>
  <c r="AF374" i="1" s="1"/>
  <c r="AC374" i="1" a="1"/>
  <c r="AC374" i="1" s="1"/>
  <c r="AF373" i="1" a="1"/>
  <c r="AF373" i="1" s="1"/>
  <c r="AC373" i="1" a="1"/>
  <c r="AC373" i="1" s="1"/>
  <c r="AF372" i="1" a="1"/>
  <c r="AF372" i="1" s="1"/>
  <c r="AC372" i="1" a="1"/>
  <c r="AC372" i="1" s="1"/>
  <c r="AF371" i="1" a="1"/>
  <c r="AF371" i="1" s="1"/>
  <c r="AC371" i="1" a="1"/>
  <c r="AC371" i="1" s="1"/>
  <c r="AF370" i="1" a="1"/>
  <c r="AF370" i="1" s="1"/>
  <c r="AC370" i="1"/>
  <c r="AC370" i="1" a="1"/>
  <c r="AF369" i="1" a="1"/>
  <c r="AF369" i="1" s="1"/>
  <c r="AE369" i="1" a="1"/>
  <c r="AE369" i="1" s="1"/>
  <c r="AF368" i="1" a="1"/>
  <c r="AF368" i="1" s="1"/>
  <c r="AC368" i="1" a="1"/>
  <c r="AC368" i="1" s="1"/>
  <c r="AF367" i="1" a="1"/>
  <c r="AF367" i="1" s="1"/>
  <c r="AC367" i="1" a="1"/>
  <c r="AC367" i="1" s="1"/>
  <c r="AF366" i="1" a="1"/>
  <c r="AF366" i="1" s="1"/>
  <c r="AC366" i="1" a="1"/>
  <c r="AC366" i="1" s="1"/>
  <c r="AF365" i="1" a="1"/>
  <c r="AF365" i="1" s="1"/>
  <c r="AC365" i="1" a="1"/>
  <c r="AC365" i="1" s="1"/>
  <c r="AF364" i="1" a="1"/>
  <c r="AF364" i="1" s="1"/>
  <c r="AC364" i="1"/>
  <c r="AC364" i="1" a="1"/>
  <c r="AF363" i="1" a="1"/>
  <c r="AF363" i="1" s="1"/>
  <c r="AC363" i="1" a="1"/>
  <c r="AC363" i="1" s="1"/>
  <c r="AF362" i="1" a="1"/>
  <c r="AF362" i="1" s="1"/>
  <c r="AC362" i="1" a="1"/>
  <c r="AC362" i="1" s="1"/>
  <c r="AF361" i="1" a="1"/>
  <c r="AF361" i="1" s="1"/>
  <c r="AC361" i="1" a="1"/>
  <c r="AC361" i="1" s="1"/>
  <c r="AF360" i="1" a="1"/>
  <c r="AF360" i="1" s="1"/>
  <c r="AC360" i="1" a="1"/>
  <c r="AC360" i="1" s="1"/>
  <c r="AF359" i="1" a="1"/>
  <c r="AF359" i="1" s="1"/>
  <c r="AC359" i="1"/>
  <c r="AC359" i="1" a="1"/>
  <c r="AF358" i="1" a="1"/>
  <c r="AF358" i="1" s="1"/>
  <c r="AC358" i="1" a="1"/>
  <c r="AC358" i="1" s="1"/>
  <c r="AF357" i="1" a="1"/>
  <c r="AF357" i="1" s="1"/>
  <c r="AE357" i="1" a="1"/>
  <c r="AE357" i="1" s="1"/>
  <c r="AF356" i="1" a="1"/>
  <c r="AF356" i="1" s="1"/>
  <c r="AC356" i="1" a="1"/>
  <c r="AC356" i="1" s="1"/>
  <c r="AF355" i="1" a="1"/>
  <c r="AF355" i="1" s="1"/>
  <c r="AC355" i="1" a="1"/>
  <c r="AC355" i="1" s="1"/>
  <c r="AF354" i="1" a="1"/>
  <c r="AF354" i="1" s="1"/>
  <c r="AC354" i="1"/>
  <c r="AC354" i="1" a="1"/>
  <c r="AF353" i="1" a="1"/>
  <c r="AF353" i="1" s="1"/>
  <c r="AC353" i="1" a="1"/>
  <c r="AC353" i="1" s="1"/>
  <c r="AF352" i="1" a="1"/>
  <c r="AF352" i="1" s="1"/>
  <c r="AC352" i="1"/>
  <c r="AC352" i="1" a="1"/>
  <c r="AF351" i="1" a="1"/>
  <c r="AF351" i="1" s="1"/>
  <c r="AC351" i="1" a="1"/>
  <c r="AC351" i="1" s="1"/>
  <c r="AF350" i="1" a="1"/>
  <c r="AF350" i="1" s="1"/>
  <c r="AC350" i="1" a="1"/>
  <c r="AC350" i="1" s="1"/>
  <c r="AF349" i="1" a="1"/>
  <c r="AF349" i="1" s="1"/>
  <c r="AC349" i="1" a="1"/>
  <c r="AC349" i="1" s="1"/>
  <c r="AF348" i="1" a="1"/>
  <c r="AF348" i="1" s="1"/>
  <c r="AC348" i="1" a="1"/>
  <c r="AC348" i="1" s="1"/>
  <c r="AF347" i="1" a="1"/>
  <c r="AF347" i="1" s="1"/>
  <c r="AC347" i="1" a="1"/>
  <c r="AC347" i="1" s="1"/>
  <c r="AF346" i="1" a="1"/>
  <c r="AF346" i="1" s="1"/>
  <c r="AC346" i="1"/>
  <c r="AC346" i="1" a="1"/>
  <c r="AF345" i="1" a="1"/>
  <c r="AF345" i="1" s="1"/>
  <c r="AE345" i="1" a="1"/>
  <c r="AE345" i="1" s="1"/>
  <c r="AF344" i="1" a="1"/>
  <c r="AF344" i="1" s="1"/>
  <c r="AC344" i="1" a="1"/>
  <c r="AC344" i="1" s="1"/>
  <c r="AF343" i="1" a="1"/>
  <c r="AF343" i="1" s="1"/>
  <c r="AC343" i="1" a="1"/>
  <c r="AC343" i="1" s="1"/>
  <c r="AF342" i="1" a="1"/>
  <c r="AF342" i="1" s="1"/>
  <c r="AC342" i="1" a="1"/>
  <c r="AC342" i="1" s="1"/>
  <c r="AF341" i="1" a="1"/>
  <c r="AF341" i="1" s="1"/>
  <c r="AC341" i="1"/>
  <c r="AC341" i="1" a="1"/>
  <c r="AF340" i="1" a="1"/>
  <c r="AF340" i="1" s="1"/>
  <c r="AC340" i="1" a="1"/>
  <c r="AC340" i="1" s="1"/>
  <c r="AF339" i="1" a="1"/>
  <c r="AF339" i="1" s="1"/>
  <c r="AC339" i="1" a="1"/>
  <c r="AC339" i="1" s="1"/>
  <c r="AF338" i="1" a="1"/>
  <c r="AF338" i="1" s="1"/>
  <c r="AC338" i="1" a="1"/>
  <c r="AC338" i="1" s="1"/>
  <c r="AF337" i="1" a="1"/>
  <c r="AF337" i="1" s="1"/>
  <c r="AC337" i="1"/>
  <c r="AC337" i="1" a="1"/>
  <c r="AF336" i="1" a="1"/>
  <c r="AF336" i="1" s="1"/>
  <c r="AC336" i="1" a="1"/>
  <c r="AC336" i="1" s="1"/>
  <c r="AF335" i="1" a="1"/>
  <c r="AF335" i="1" s="1"/>
  <c r="AC335" i="1" a="1"/>
  <c r="AC335" i="1" s="1"/>
  <c r="AF334" i="1" a="1"/>
  <c r="AF334" i="1" s="1"/>
  <c r="AC334" i="1" a="1"/>
  <c r="AC334" i="1" s="1"/>
  <c r="AF333" i="1" a="1"/>
  <c r="AF333" i="1" s="1"/>
  <c r="AE333" i="1" a="1"/>
  <c r="AE333" i="1" s="1"/>
  <c r="AF332" i="1" a="1"/>
  <c r="AF332" i="1" s="1"/>
  <c r="AC332" i="1"/>
  <c r="AC332" i="1" a="1"/>
  <c r="AF331" i="1" a="1"/>
  <c r="AF331" i="1" s="1"/>
  <c r="AC331" i="1" a="1"/>
  <c r="AC331" i="1" s="1"/>
  <c r="AF330" i="1" a="1"/>
  <c r="AF330" i="1" s="1"/>
  <c r="AC330" i="1" a="1"/>
  <c r="AC330" i="1" s="1"/>
  <c r="AF329" i="1" a="1"/>
  <c r="AF329" i="1" s="1"/>
  <c r="AC329" i="1" a="1"/>
  <c r="AC329" i="1" s="1"/>
  <c r="AF328" i="1" a="1"/>
  <c r="AF328" i="1" s="1"/>
  <c r="AC328" i="1" a="1"/>
  <c r="AC328" i="1" s="1"/>
  <c r="AF327" i="1" a="1"/>
  <c r="AF327" i="1" s="1"/>
  <c r="AC327" i="1" a="1"/>
  <c r="AC327" i="1" s="1"/>
  <c r="AF326" i="1" a="1"/>
  <c r="AF326" i="1" s="1"/>
  <c r="AC326" i="1" a="1"/>
  <c r="AC326" i="1" s="1"/>
  <c r="AF325" i="1" a="1"/>
  <c r="AF325" i="1" s="1"/>
  <c r="AC325" i="1"/>
  <c r="AC325" i="1" a="1"/>
  <c r="AF324" i="1" a="1"/>
  <c r="AF324" i="1" s="1"/>
  <c r="AC324" i="1" a="1"/>
  <c r="AC324" i="1" s="1"/>
  <c r="AF323" i="1" a="1"/>
  <c r="AF323" i="1" s="1"/>
  <c r="AC323" i="1" a="1"/>
  <c r="AC323" i="1" s="1"/>
  <c r="AF322" i="1" a="1"/>
  <c r="AF322" i="1" s="1"/>
  <c r="AC322" i="1" a="1"/>
  <c r="AC322" i="1" s="1"/>
  <c r="AF321" i="1" a="1"/>
  <c r="AF321" i="1" s="1"/>
  <c r="AE321" i="1" a="1"/>
  <c r="AE321" i="1" s="1"/>
  <c r="AF320" i="1" a="1"/>
  <c r="AF320" i="1" s="1"/>
  <c r="AC320" i="1" a="1"/>
  <c r="AC320" i="1" s="1"/>
  <c r="AF319" i="1" a="1"/>
  <c r="AF319" i="1" s="1"/>
  <c r="AC319" i="1" a="1"/>
  <c r="AC319" i="1" s="1"/>
  <c r="AF318" i="1" a="1"/>
  <c r="AF318" i="1" s="1"/>
  <c r="AC318" i="1" a="1"/>
  <c r="AC318" i="1" s="1"/>
  <c r="AF317" i="1" a="1"/>
  <c r="AF317" i="1" s="1"/>
  <c r="AC317" i="1" a="1"/>
  <c r="AC317" i="1" s="1"/>
  <c r="AF316" i="1" a="1"/>
  <c r="AF316" i="1" s="1"/>
  <c r="AC316" i="1"/>
  <c r="AC316" i="1" a="1"/>
  <c r="AF315" i="1" a="1"/>
  <c r="AF315" i="1" s="1"/>
  <c r="AC315" i="1" a="1"/>
  <c r="AC315" i="1" s="1"/>
  <c r="AF314" i="1" a="1"/>
  <c r="AF314" i="1" s="1"/>
  <c r="AC314" i="1" a="1"/>
  <c r="AC314" i="1" s="1"/>
  <c r="AF313" i="1" a="1"/>
  <c r="AF313" i="1" s="1"/>
  <c r="AC313" i="1" a="1"/>
  <c r="AC313" i="1" s="1"/>
  <c r="AF312" i="1" a="1"/>
  <c r="AF312" i="1" s="1"/>
  <c r="AC312" i="1"/>
  <c r="AC312" i="1" a="1"/>
  <c r="AF311" i="1" a="1"/>
  <c r="AF311" i="1" s="1"/>
  <c r="AC311" i="1" a="1"/>
  <c r="AC311" i="1" s="1"/>
  <c r="AF310" i="1" a="1"/>
  <c r="AF310" i="1" s="1"/>
  <c r="AC310" i="1" a="1"/>
  <c r="AC310" i="1" s="1"/>
  <c r="AF309" i="1" a="1"/>
  <c r="AF309" i="1" s="1"/>
  <c r="AE309" i="1" a="1"/>
  <c r="AE309" i="1" s="1"/>
  <c r="AF308" i="1" a="1"/>
  <c r="AF308" i="1" s="1"/>
  <c r="AC308" i="1" a="1"/>
  <c r="AC308" i="1" s="1"/>
  <c r="AF307" i="1" a="1"/>
  <c r="AF307" i="1" s="1"/>
  <c r="AC307" i="1" a="1"/>
  <c r="AC307" i="1" s="1"/>
  <c r="AF306" i="1" a="1"/>
  <c r="AF306" i="1" s="1"/>
  <c r="AC306" i="1" a="1"/>
  <c r="AC306" i="1" s="1"/>
  <c r="AF305" i="1" a="1"/>
  <c r="AF305" i="1" s="1"/>
  <c r="AC305" i="1" a="1"/>
  <c r="AC305" i="1" s="1"/>
  <c r="AF304" i="1" a="1"/>
  <c r="AF304" i="1" s="1"/>
  <c r="AC304" i="1"/>
  <c r="AC304" i="1" a="1"/>
  <c r="AF303" i="1" a="1"/>
  <c r="AF303" i="1" s="1"/>
  <c r="AC303" i="1" a="1"/>
  <c r="AC303" i="1" s="1"/>
  <c r="AF302" i="1" a="1"/>
  <c r="AF302" i="1" s="1"/>
  <c r="AC302" i="1" a="1"/>
  <c r="AC302" i="1" s="1"/>
  <c r="AF301" i="1" a="1"/>
  <c r="AF301" i="1" s="1"/>
  <c r="AC301" i="1" a="1"/>
  <c r="AC301" i="1" s="1"/>
  <c r="AF300" i="1" a="1"/>
  <c r="AF300" i="1" s="1"/>
  <c r="AC300" i="1" a="1"/>
  <c r="AC300" i="1" s="1"/>
  <c r="AF299" i="1" a="1"/>
  <c r="AF299" i="1" s="1"/>
  <c r="AC299" i="1" a="1"/>
  <c r="AC299" i="1" s="1"/>
  <c r="AF298" i="1" a="1"/>
  <c r="AF298" i="1" s="1"/>
  <c r="AC298" i="1" a="1"/>
  <c r="AC298" i="1" s="1"/>
  <c r="AF297" i="1" a="1"/>
  <c r="AF297" i="1" s="1"/>
  <c r="AE297" i="1" a="1"/>
  <c r="AE297" i="1" s="1"/>
  <c r="AF296" i="1" a="1"/>
  <c r="AF296" i="1" s="1"/>
  <c r="AC296" i="1" a="1"/>
  <c r="AC296" i="1" s="1"/>
  <c r="AF295" i="1" a="1"/>
  <c r="AF295" i="1" s="1"/>
  <c r="AC295" i="1"/>
  <c r="AC295" i="1" a="1"/>
  <c r="AF294" i="1" a="1"/>
  <c r="AF294" i="1" s="1"/>
  <c r="AC294" i="1" a="1"/>
  <c r="AC294" i="1" s="1"/>
  <c r="AF293" i="1" a="1"/>
  <c r="AF293" i="1" s="1"/>
  <c r="AC293" i="1" a="1"/>
  <c r="AC293" i="1" s="1"/>
  <c r="AF292" i="1" a="1"/>
  <c r="AF292" i="1" s="1"/>
  <c r="AC292" i="1"/>
  <c r="AC292" i="1" a="1"/>
  <c r="AF291" i="1" a="1"/>
  <c r="AF291" i="1" s="1"/>
  <c r="AC291" i="1" a="1"/>
  <c r="AC291" i="1" s="1"/>
  <c r="AF290" i="1" a="1"/>
  <c r="AF290" i="1" s="1"/>
  <c r="AC290" i="1" a="1"/>
  <c r="AC290" i="1" s="1"/>
  <c r="AF289" i="1" a="1"/>
  <c r="AF289" i="1" s="1"/>
  <c r="AC289" i="1" a="1"/>
  <c r="AC289" i="1" s="1"/>
  <c r="AF288" i="1" a="1"/>
  <c r="AF288" i="1" s="1"/>
  <c r="AC288" i="1" a="1"/>
  <c r="AC288" i="1" s="1"/>
  <c r="AF287" i="1" a="1"/>
  <c r="AF287" i="1" s="1"/>
  <c r="AC287" i="1" a="1"/>
  <c r="AC287" i="1" s="1"/>
  <c r="AF286" i="1" a="1"/>
  <c r="AF286" i="1" s="1"/>
  <c r="AC286" i="1" a="1"/>
  <c r="AC286" i="1" s="1"/>
  <c r="AF285" i="1" a="1"/>
  <c r="AF285" i="1" s="1"/>
  <c r="AE285" i="1" a="1"/>
  <c r="AE285" i="1" s="1"/>
  <c r="AF284" i="1" a="1"/>
  <c r="AF284" i="1" s="1"/>
  <c r="AC284" i="1" a="1"/>
  <c r="AC284" i="1" s="1"/>
  <c r="AF283" i="1" a="1"/>
  <c r="AF283" i="1" s="1"/>
  <c r="AC283" i="1" a="1"/>
  <c r="AC283" i="1" s="1"/>
  <c r="AF282" i="1" a="1"/>
  <c r="AF282" i="1" s="1"/>
  <c r="AC282" i="1" a="1"/>
  <c r="AC282" i="1" s="1"/>
  <c r="AF281" i="1" a="1"/>
  <c r="AF281" i="1" s="1"/>
  <c r="AC281" i="1" a="1"/>
  <c r="AC281" i="1" s="1"/>
  <c r="AF280" i="1" a="1"/>
  <c r="AF280" i="1" s="1"/>
  <c r="AC280" i="1" a="1"/>
  <c r="AC280" i="1" s="1"/>
  <c r="AF279" i="1" a="1"/>
  <c r="AF279" i="1" s="1"/>
  <c r="AC279" i="1" a="1"/>
  <c r="AC279" i="1" s="1"/>
  <c r="AF278" i="1" a="1"/>
  <c r="AF278" i="1" s="1"/>
  <c r="AC278" i="1"/>
  <c r="AC278" i="1" a="1"/>
  <c r="AF277" i="1" a="1"/>
  <c r="AF277" i="1" s="1"/>
  <c r="AC277" i="1" a="1"/>
  <c r="AC277" i="1" s="1"/>
  <c r="AF276" i="1" a="1"/>
  <c r="AF276" i="1" s="1"/>
  <c r="AC276" i="1" a="1"/>
  <c r="AC276" i="1" s="1"/>
  <c r="AF275" i="1" a="1"/>
  <c r="AF275" i="1" s="1"/>
  <c r="AC275" i="1" a="1"/>
  <c r="AC275" i="1" s="1"/>
  <c r="AF274" i="1" a="1"/>
  <c r="AF274" i="1" s="1"/>
  <c r="AC274" i="1"/>
  <c r="AC274" i="1" a="1"/>
  <c r="AF273" i="1" a="1"/>
  <c r="AF273" i="1" s="1"/>
  <c r="AE273" i="1" a="1"/>
  <c r="AE273" i="1" s="1"/>
  <c r="AF272" i="1" a="1"/>
  <c r="AF272" i="1" s="1"/>
  <c r="AC272" i="1" a="1"/>
  <c r="AC272" i="1" s="1"/>
  <c r="AF271" i="1" a="1"/>
  <c r="AF271" i="1" s="1"/>
  <c r="AC271" i="1" a="1"/>
  <c r="AC271" i="1" s="1"/>
  <c r="AF270" i="1" a="1"/>
  <c r="AF270" i="1" s="1"/>
  <c r="AC270" i="1" a="1"/>
  <c r="AC270" i="1" s="1"/>
  <c r="AF269" i="1" a="1"/>
  <c r="AF269" i="1" s="1"/>
  <c r="AC269" i="1" a="1"/>
  <c r="AC269" i="1" s="1"/>
  <c r="AF268" i="1" a="1"/>
  <c r="AF268" i="1" s="1"/>
  <c r="AC268" i="1" a="1"/>
  <c r="AC268" i="1" s="1"/>
  <c r="AF267" i="1" a="1"/>
  <c r="AF267" i="1" s="1"/>
  <c r="AC267" i="1"/>
  <c r="AC267" i="1" a="1"/>
  <c r="AF266" i="1" a="1"/>
  <c r="AF266" i="1" s="1"/>
  <c r="AC266" i="1" a="1"/>
  <c r="AC266" i="1" s="1"/>
  <c r="AF265" i="1" a="1"/>
  <c r="AF265" i="1" s="1"/>
  <c r="AC265" i="1" a="1"/>
  <c r="AC265" i="1" s="1"/>
  <c r="AF264" i="1" a="1"/>
  <c r="AF264" i="1" s="1"/>
  <c r="AC264" i="1" a="1"/>
  <c r="AC264" i="1" s="1"/>
  <c r="AF263" i="1" a="1"/>
  <c r="AF263" i="1" s="1"/>
  <c r="AC263" i="1" a="1"/>
  <c r="AC263" i="1" s="1"/>
  <c r="AF262" i="1" a="1"/>
  <c r="AF262" i="1" s="1"/>
  <c r="AC262" i="1" a="1"/>
  <c r="AC262" i="1" s="1"/>
  <c r="AF261" i="1" a="1"/>
  <c r="AF261" i="1" s="1"/>
  <c r="AE261" i="1" a="1"/>
  <c r="AE261" i="1" s="1"/>
  <c r="AF260" i="1" a="1"/>
  <c r="AF260" i="1" s="1"/>
  <c r="AC260" i="1"/>
  <c r="AC260" i="1" a="1"/>
  <c r="AF259" i="1" a="1"/>
  <c r="AF259" i="1" s="1"/>
  <c r="AC259" i="1" a="1"/>
  <c r="AC259" i="1" s="1"/>
  <c r="AF258" i="1" a="1"/>
  <c r="AF258" i="1" s="1"/>
  <c r="AC258" i="1"/>
  <c r="AC258" i="1" a="1"/>
  <c r="AF257" i="1" a="1"/>
  <c r="AF257" i="1" s="1"/>
  <c r="AC257" i="1" a="1"/>
  <c r="AC257" i="1" s="1"/>
  <c r="AF256" i="1" a="1"/>
  <c r="AF256" i="1" s="1"/>
  <c r="AC256" i="1" a="1"/>
  <c r="AC256" i="1" s="1"/>
  <c r="AF255" i="1" a="1"/>
  <c r="AF255" i="1" s="1"/>
  <c r="AC255" i="1" a="1"/>
  <c r="AC255" i="1" s="1"/>
  <c r="AF254" i="1" a="1"/>
  <c r="AF254" i="1" s="1"/>
  <c r="AC254" i="1" a="1"/>
  <c r="AC254" i="1" s="1"/>
  <c r="AF253" i="1" a="1"/>
  <c r="AF253" i="1" s="1"/>
  <c r="AC253" i="1" a="1"/>
  <c r="AC253" i="1" s="1"/>
  <c r="AF252" i="1" a="1"/>
  <c r="AF252" i="1" s="1"/>
  <c r="AC252" i="1" a="1"/>
  <c r="AC252" i="1" s="1"/>
  <c r="AF251" i="1" a="1"/>
  <c r="AF251" i="1" s="1"/>
  <c r="AC251" i="1" a="1"/>
  <c r="AC251" i="1" s="1"/>
  <c r="AF250" i="1" a="1"/>
  <c r="AF250" i="1" s="1"/>
  <c r="AC250" i="1" a="1"/>
  <c r="AC250" i="1" s="1"/>
  <c r="AF249" i="1" a="1"/>
  <c r="AF249" i="1" s="1"/>
  <c r="AE249" i="1" a="1"/>
  <c r="AE249" i="1" s="1"/>
  <c r="AF248" i="1" a="1"/>
  <c r="AF248" i="1" s="1"/>
  <c r="AC248" i="1" a="1"/>
  <c r="AC248" i="1" s="1"/>
  <c r="AF247" i="1" a="1"/>
  <c r="AF247" i="1" s="1"/>
  <c r="AC247" i="1" a="1"/>
  <c r="AC247" i="1" s="1"/>
  <c r="AF246" i="1" a="1"/>
  <c r="AF246" i="1" s="1"/>
  <c r="AC246" i="1" a="1"/>
  <c r="AC246" i="1" s="1"/>
  <c r="AF245" i="1" a="1"/>
  <c r="AF245" i="1" s="1"/>
  <c r="AC245" i="1" a="1"/>
  <c r="AC245" i="1" s="1"/>
  <c r="AF244" i="1" a="1"/>
  <c r="AF244" i="1" s="1"/>
  <c r="AC244" i="1" a="1"/>
  <c r="AC244" i="1" s="1"/>
  <c r="AF243" i="1"/>
  <c r="AF243" i="1" a="1"/>
  <c r="AC243" i="1" a="1"/>
  <c r="AC243" i="1" s="1"/>
  <c r="AF242" i="1" a="1"/>
  <c r="AF242" i="1" s="1"/>
  <c r="AC242" i="1" a="1"/>
  <c r="AC242" i="1" s="1"/>
  <c r="AF241" i="1" a="1"/>
  <c r="AF241" i="1" s="1"/>
  <c r="AC241" i="1" a="1"/>
  <c r="AC241" i="1" s="1"/>
  <c r="AF240" i="1" a="1"/>
  <c r="AF240" i="1" s="1"/>
  <c r="AC240" i="1" a="1"/>
  <c r="AC240" i="1" s="1"/>
  <c r="AF239" i="1" a="1"/>
  <c r="AF239" i="1" s="1"/>
  <c r="AC239" i="1" a="1"/>
  <c r="AC239" i="1" s="1"/>
  <c r="AF238" i="1" a="1"/>
  <c r="AF238" i="1" s="1"/>
  <c r="AC238" i="1"/>
  <c r="AC238" i="1" a="1"/>
  <c r="AF237" i="1" a="1"/>
  <c r="AF237" i="1" s="1"/>
  <c r="AE237" i="1" a="1"/>
  <c r="AE237" i="1" s="1"/>
  <c r="AF236" i="1" a="1"/>
  <c r="AF236" i="1" s="1"/>
  <c r="AC236" i="1"/>
  <c r="AC236" i="1" a="1"/>
  <c r="AF235" i="1" a="1"/>
  <c r="AF235" i="1" s="1"/>
  <c r="AC235" i="1" a="1"/>
  <c r="AC235" i="1" s="1"/>
  <c r="AF234" i="1" a="1"/>
  <c r="AF234" i="1" s="1"/>
  <c r="AC234" i="1" a="1"/>
  <c r="AC234" i="1" s="1"/>
  <c r="AF233" i="1" a="1"/>
  <c r="AF233" i="1" s="1"/>
  <c r="AC233" i="1" a="1"/>
  <c r="AC233" i="1" s="1"/>
  <c r="AF232" i="1" a="1"/>
  <c r="AF232" i="1" s="1"/>
  <c r="AC232" i="1" a="1"/>
  <c r="AC232" i="1" s="1"/>
  <c r="AF231" i="1" a="1"/>
  <c r="AF231" i="1" s="1"/>
  <c r="AC231" i="1" a="1"/>
  <c r="AC231" i="1" s="1"/>
  <c r="AF230" i="1" a="1"/>
  <c r="AF230" i="1" s="1"/>
  <c r="AC230" i="1"/>
  <c r="AC230" i="1" a="1"/>
  <c r="AF229" i="1" a="1"/>
  <c r="AF229" i="1" s="1"/>
  <c r="AC229" i="1" a="1"/>
  <c r="AC229" i="1" s="1"/>
  <c r="AF228" i="1" a="1"/>
  <c r="AF228" i="1" s="1"/>
  <c r="AC228" i="1"/>
  <c r="AC228" i="1" a="1"/>
  <c r="AF227" i="1" a="1"/>
  <c r="AF227" i="1" s="1"/>
  <c r="AC227" i="1" a="1"/>
  <c r="AC227" i="1" s="1"/>
  <c r="AF226" i="1" a="1"/>
  <c r="AF226" i="1" s="1"/>
  <c r="AC226" i="1" a="1"/>
  <c r="AC226" i="1" s="1"/>
  <c r="AF225" i="1" a="1"/>
  <c r="AF225" i="1" s="1"/>
  <c r="AE225" i="1" a="1"/>
  <c r="AE225" i="1" s="1"/>
  <c r="AF224" i="1" a="1"/>
  <c r="AF224" i="1" s="1"/>
  <c r="AC224" i="1"/>
  <c r="AC224" i="1" a="1"/>
  <c r="AF223" i="1" a="1"/>
  <c r="AF223" i="1" s="1"/>
  <c r="AC223" i="1"/>
  <c r="AC223" i="1" a="1"/>
  <c r="AF222" i="1" a="1"/>
  <c r="AF222" i="1" s="1"/>
  <c r="AC222" i="1" a="1"/>
  <c r="AC222" i="1" s="1"/>
  <c r="AF221" i="1" a="1"/>
  <c r="AF221" i="1" s="1"/>
  <c r="AC221" i="1" a="1"/>
  <c r="AC221" i="1" s="1"/>
  <c r="AF220" i="1" a="1"/>
  <c r="AF220" i="1" s="1"/>
  <c r="AC220" i="1" a="1"/>
  <c r="AC220" i="1" s="1"/>
  <c r="AF219" i="1" a="1"/>
  <c r="AF219" i="1" s="1"/>
  <c r="AC219" i="1" a="1"/>
  <c r="AC219" i="1" s="1"/>
  <c r="AF218" i="1" a="1"/>
  <c r="AF218" i="1" s="1"/>
  <c r="AC218" i="1" a="1"/>
  <c r="AC218" i="1" s="1"/>
  <c r="AF217" i="1" a="1"/>
  <c r="AF217" i="1" s="1"/>
  <c r="AC217" i="1" a="1"/>
  <c r="AC217" i="1" s="1"/>
  <c r="AF216" i="1" a="1"/>
  <c r="AF216" i="1" s="1"/>
  <c r="AC216" i="1" a="1"/>
  <c r="AC216" i="1" s="1"/>
  <c r="AF215" i="1" a="1"/>
  <c r="AF215" i="1" s="1"/>
  <c r="AC215" i="1" a="1"/>
  <c r="AC215" i="1" s="1"/>
  <c r="AF214" i="1" a="1"/>
  <c r="AF214" i="1" s="1"/>
  <c r="AC214" i="1"/>
  <c r="AC214" i="1" a="1"/>
  <c r="AF213" i="1" a="1"/>
  <c r="AF213" i="1" s="1"/>
  <c r="AE213" i="1" a="1"/>
  <c r="AE213" i="1" s="1"/>
  <c r="AF212" i="1" a="1"/>
  <c r="AF212" i="1" s="1"/>
  <c r="AC212" i="1" a="1"/>
  <c r="AC212" i="1" s="1"/>
  <c r="AF211" i="1" a="1"/>
  <c r="AF211" i="1" s="1"/>
  <c r="AC211" i="1" a="1"/>
  <c r="AC211" i="1" s="1"/>
  <c r="AF210" i="1" a="1"/>
  <c r="AF210" i="1" s="1"/>
  <c r="AC210" i="1" a="1"/>
  <c r="AC210" i="1" s="1"/>
  <c r="AF209" i="1" a="1"/>
  <c r="AF209" i="1" s="1"/>
  <c r="AC209" i="1" a="1"/>
  <c r="AC209" i="1" s="1"/>
  <c r="AF208" i="1" a="1"/>
  <c r="AF208" i="1" s="1"/>
  <c r="AC208" i="1" a="1"/>
  <c r="AC208" i="1" s="1"/>
  <c r="AF207" i="1" a="1"/>
  <c r="AF207" i="1" s="1"/>
  <c r="AC207" i="1" a="1"/>
  <c r="AC207" i="1" s="1"/>
  <c r="AF206" i="1" a="1"/>
  <c r="AF206" i="1" s="1"/>
  <c r="AC206" i="1" a="1"/>
  <c r="AC206" i="1" s="1"/>
  <c r="AF205" i="1" a="1"/>
  <c r="AF205" i="1" s="1"/>
  <c r="AC205" i="1" a="1"/>
  <c r="AC205" i="1" s="1"/>
  <c r="AF204" i="1" a="1"/>
  <c r="AF204" i="1" s="1"/>
  <c r="AC204" i="1" a="1"/>
  <c r="AC204" i="1" s="1"/>
  <c r="AF203" i="1" a="1"/>
  <c r="AF203" i="1" s="1"/>
  <c r="AC203" i="1" a="1"/>
  <c r="AC203" i="1" s="1"/>
  <c r="AF202" i="1" a="1"/>
  <c r="AF202" i="1" s="1"/>
  <c r="AC202" i="1" a="1"/>
  <c r="AC202" i="1" s="1"/>
  <c r="AF201" i="1" a="1"/>
  <c r="AF201" i="1" s="1"/>
  <c r="AE201" i="1" a="1"/>
  <c r="AE201" i="1" s="1"/>
  <c r="AF200" i="1" a="1"/>
  <c r="AF200" i="1" s="1"/>
  <c r="AC200" i="1" a="1"/>
  <c r="AC200" i="1" s="1"/>
  <c r="AF199" i="1" a="1"/>
  <c r="AF199" i="1" s="1"/>
  <c r="AC199" i="1" a="1"/>
  <c r="AC199" i="1" s="1"/>
  <c r="AF198" i="1" a="1"/>
  <c r="AF198" i="1" s="1"/>
  <c r="AC198" i="1" a="1"/>
  <c r="AC198" i="1" s="1"/>
  <c r="AF197" i="1" a="1"/>
  <c r="AF197" i="1" s="1"/>
  <c r="AC197" i="1" a="1"/>
  <c r="AC197" i="1" s="1"/>
  <c r="AF196" i="1" a="1"/>
  <c r="AF196" i="1" s="1"/>
  <c r="AC196" i="1" a="1"/>
  <c r="AC196" i="1" s="1"/>
  <c r="AF195" i="1" a="1"/>
  <c r="AF195" i="1" s="1"/>
  <c r="AC195" i="1" a="1"/>
  <c r="AC195" i="1" s="1"/>
  <c r="AF194" i="1" a="1"/>
  <c r="AF194" i="1" s="1"/>
  <c r="AC194" i="1" a="1"/>
  <c r="AC194" i="1" s="1"/>
  <c r="AF193" i="1" a="1"/>
  <c r="AF193" i="1" s="1"/>
  <c r="AC193" i="1" a="1"/>
  <c r="AC193" i="1" s="1"/>
  <c r="AF192" i="1" a="1"/>
  <c r="AF192" i="1" s="1"/>
  <c r="AC192" i="1"/>
  <c r="AC192" i="1" a="1"/>
  <c r="AF191" i="1" a="1"/>
  <c r="AF191" i="1" s="1"/>
  <c r="AC191" i="1" a="1"/>
  <c r="AC191" i="1" s="1"/>
  <c r="AF190" i="1" a="1"/>
  <c r="AF190" i="1" s="1"/>
  <c r="AC190" i="1" a="1"/>
  <c r="AC190" i="1" s="1"/>
  <c r="AF189" i="1" a="1"/>
  <c r="AF189" i="1" s="1"/>
  <c r="AE189" i="1" a="1"/>
  <c r="AE189" i="1" s="1"/>
  <c r="AF188" i="1" a="1"/>
  <c r="AF188" i="1" s="1"/>
  <c r="AC188" i="1" a="1"/>
  <c r="AC188" i="1" s="1"/>
  <c r="AF187" i="1" a="1"/>
  <c r="AF187" i="1" s="1"/>
  <c r="AC187" i="1" a="1"/>
  <c r="AC187" i="1" s="1"/>
  <c r="AF186" i="1" a="1"/>
  <c r="AF186" i="1" s="1"/>
  <c r="AC186" i="1" a="1"/>
  <c r="AC186" i="1" s="1"/>
  <c r="AF185" i="1" a="1"/>
  <c r="AF185" i="1" s="1"/>
  <c r="AC185" i="1" a="1"/>
  <c r="AC185" i="1" s="1"/>
  <c r="AF184" i="1" a="1"/>
  <c r="AF184" i="1" s="1"/>
  <c r="AC184" i="1" a="1"/>
  <c r="AC184" i="1" s="1"/>
  <c r="AF183" i="1" a="1"/>
  <c r="AF183" i="1" s="1"/>
  <c r="AC183" i="1" a="1"/>
  <c r="AC183" i="1" s="1"/>
  <c r="AF182" i="1" a="1"/>
  <c r="AF182" i="1" s="1"/>
  <c r="AC182" i="1" a="1"/>
  <c r="AC182" i="1" s="1"/>
  <c r="AF181" i="1" a="1"/>
  <c r="AF181" i="1" s="1"/>
  <c r="AC181" i="1" a="1"/>
  <c r="AC181" i="1" s="1"/>
  <c r="AF180" i="1" a="1"/>
  <c r="AF180" i="1" s="1"/>
  <c r="AC180" i="1" a="1"/>
  <c r="AC180" i="1" s="1"/>
  <c r="AF179" i="1" a="1"/>
  <c r="AF179" i="1" s="1"/>
  <c r="AE179" i="1" a="1"/>
  <c r="AE179" i="1" s="1"/>
  <c r="AC179" i="1" a="1"/>
  <c r="AC179" i="1" s="1"/>
  <c r="AF178" i="1"/>
  <c r="AF178" i="1" a="1"/>
  <c r="AE178" i="1" a="1"/>
  <c r="AE178" i="1" s="1"/>
  <c r="AC178" i="1" a="1"/>
  <c r="AC178" i="1" s="1"/>
  <c r="AF177" i="1" a="1"/>
  <c r="AF177" i="1" s="1"/>
  <c r="AE177" i="1" a="1"/>
  <c r="AE177" i="1" s="1"/>
  <c r="AF176" i="1" a="1"/>
  <c r="AF176" i="1" s="1"/>
  <c r="AC176" i="1" a="1"/>
  <c r="AC176" i="1" s="1"/>
  <c r="AF175" i="1" a="1"/>
  <c r="AF175" i="1" s="1"/>
  <c r="AC175" i="1" a="1"/>
  <c r="AC175" i="1" s="1"/>
  <c r="AF174" i="1" a="1"/>
  <c r="AF174" i="1" s="1"/>
  <c r="AC174" i="1" a="1"/>
  <c r="AC174" i="1" s="1"/>
  <c r="AF173" i="1" a="1"/>
  <c r="AF173" i="1" s="1"/>
  <c r="AC173" i="1" a="1"/>
  <c r="AC173" i="1" s="1"/>
  <c r="AF172" i="1" a="1"/>
  <c r="AF172" i="1" s="1"/>
  <c r="AC172" i="1" a="1"/>
  <c r="AC172" i="1" s="1"/>
  <c r="AF171" i="1" a="1"/>
  <c r="AF171" i="1" s="1"/>
  <c r="AC171" i="1" a="1"/>
  <c r="AC171" i="1" s="1"/>
  <c r="AF170" i="1" a="1"/>
  <c r="AF170" i="1" s="1"/>
  <c r="AC170" i="1" a="1"/>
  <c r="AC170" i="1" s="1"/>
  <c r="AF169" i="1" a="1"/>
  <c r="AF169" i="1" s="1"/>
  <c r="AC169" i="1" a="1"/>
  <c r="AC169" i="1" s="1"/>
  <c r="AF168" i="1" a="1"/>
  <c r="AF168" i="1" s="1"/>
  <c r="AC168" i="1" a="1"/>
  <c r="AC168" i="1" s="1"/>
  <c r="AF167" i="1" a="1"/>
  <c r="AF167" i="1" s="1"/>
  <c r="AC167" i="1" a="1"/>
  <c r="AC167" i="1" s="1"/>
  <c r="AF166" i="1" a="1"/>
  <c r="AF166" i="1" s="1"/>
  <c r="AC166" i="1" a="1"/>
  <c r="AC166" i="1" s="1"/>
  <c r="AF165" i="1" a="1"/>
  <c r="AF165" i="1" s="1"/>
  <c r="AE165" i="1" a="1"/>
  <c r="AE165" i="1" s="1"/>
  <c r="AF164" i="1" a="1"/>
  <c r="AF164" i="1" s="1"/>
  <c r="AC164" i="1" a="1"/>
  <c r="AC164" i="1" s="1"/>
  <c r="AF163" i="1" a="1"/>
  <c r="AF163" i="1" s="1"/>
  <c r="AC163" i="1" a="1"/>
  <c r="AC163" i="1" s="1"/>
  <c r="AF162" i="1" a="1"/>
  <c r="AF162" i="1" s="1"/>
  <c r="AC162" i="1" a="1"/>
  <c r="AC162" i="1" s="1"/>
  <c r="AF161" i="1" a="1"/>
  <c r="AF161" i="1" s="1"/>
  <c r="AC161" i="1"/>
  <c r="AC161" i="1" a="1"/>
  <c r="AF160" i="1" a="1"/>
  <c r="AF160" i="1" s="1"/>
  <c r="AC160" i="1" a="1"/>
  <c r="AC160" i="1" s="1"/>
  <c r="AF159" i="1" a="1"/>
  <c r="AF159" i="1" s="1"/>
  <c r="AC159" i="1" a="1"/>
  <c r="AC159" i="1" s="1"/>
  <c r="AF158" i="1" a="1"/>
  <c r="AF158" i="1" s="1"/>
  <c r="AC158" i="1" a="1"/>
  <c r="AC158" i="1" s="1"/>
  <c r="AF157" i="1" a="1"/>
  <c r="AF157" i="1" s="1"/>
  <c r="AC157" i="1" a="1"/>
  <c r="AC157" i="1" s="1"/>
  <c r="AF156" i="1" a="1"/>
  <c r="AF156" i="1" s="1"/>
  <c r="AC156" i="1" a="1"/>
  <c r="AC156" i="1" s="1"/>
  <c r="AF155" i="1" a="1"/>
  <c r="AF155" i="1" s="1"/>
  <c r="AC155" i="1" a="1"/>
  <c r="AC155" i="1" s="1"/>
  <c r="AF154" i="1" a="1"/>
  <c r="AF154" i="1" s="1"/>
  <c r="AE154" i="1" a="1"/>
  <c r="AE154" i="1" s="1"/>
  <c r="AC154" i="1" a="1"/>
  <c r="AC154" i="1" s="1"/>
  <c r="AF153" i="1" a="1"/>
  <c r="AF153" i="1" s="1"/>
  <c r="AE153" i="1" a="1"/>
  <c r="AE153" i="1" s="1"/>
  <c r="AF152" i="1" a="1"/>
  <c r="AF152" i="1" s="1"/>
  <c r="AC152" i="1" a="1"/>
  <c r="AC152" i="1" s="1"/>
  <c r="AF151" i="1" a="1"/>
  <c r="AF151" i="1" s="1"/>
  <c r="AC151" i="1" a="1"/>
  <c r="AC151" i="1" s="1"/>
  <c r="AF150" i="1" a="1"/>
  <c r="AF150" i="1" s="1"/>
  <c r="AC150" i="1" a="1"/>
  <c r="AC150" i="1" s="1"/>
  <c r="AF149" i="1" a="1"/>
  <c r="AF149" i="1" s="1"/>
  <c r="AC149" i="1" a="1"/>
  <c r="AC149" i="1" s="1"/>
  <c r="AF148" i="1" a="1"/>
  <c r="AF148" i="1" s="1"/>
  <c r="AC148" i="1" a="1"/>
  <c r="AC148" i="1" s="1"/>
  <c r="AF147" i="1" a="1"/>
  <c r="AF147" i="1" s="1"/>
  <c r="AC147" i="1" a="1"/>
  <c r="AC147" i="1" s="1"/>
  <c r="AF146" i="1" a="1"/>
  <c r="AF146" i="1" s="1"/>
  <c r="AC146" i="1" a="1"/>
  <c r="AC146" i="1" s="1"/>
  <c r="AF145" i="1" a="1"/>
  <c r="AF145" i="1" s="1"/>
  <c r="AC145" i="1" a="1"/>
  <c r="AC145" i="1" s="1"/>
  <c r="AF144" i="1" a="1"/>
  <c r="AF144" i="1" s="1"/>
  <c r="AC144" i="1" a="1"/>
  <c r="AC144" i="1" s="1"/>
  <c r="AF143" i="1" a="1"/>
  <c r="AF143" i="1" s="1"/>
  <c r="AC143" i="1" a="1"/>
  <c r="AC143" i="1" s="1"/>
  <c r="AF142" i="1" a="1"/>
  <c r="AF142" i="1" s="1"/>
  <c r="AC142" i="1" a="1"/>
  <c r="AC142" i="1" s="1"/>
  <c r="AF141" i="1" a="1"/>
  <c r="AF141" i="1" s="1"/>
  <c r="AE141" i="1" a="1"/>
  <c r="AE141" i="1" s="1"/>
  <c r="AF140" i="1" a="1"/>
  <c r="AF140" i="1" s="1"/>
  <c r="AC140" i="1" a="1"/>
  <c r="AC140" i="1" s="1"/>
  <c r="AF139" i="1" a="1"/>
  <c r="AF139" i="1" s="1"/>
  <c r="AC139" i="1" a="1"/>
  <c r="AC139" i="1" s="1"/>
  <c r="AF138" i="1" a="1"/>
  <c r="AF138" i="1" s="1"/>
  <c r="AC138" i="1" a="1"/>
  <c r="AC138" i="1" s="1"/>
  <c r="AF137" i="1" a="1"/>
  <c r="AF137" i="1" s="1"/>
  <c r="AC137" i="1" a="1"/>
  <c r="AC137" i="1" s="1"/>
  <c r="AF136" i="1" a="1"/>
  <c r="AF136" i="1" s="1"/>
  <c r="AC136" i="1" a="1"/>
  <c r="AC136" i="1" s="1"/>
  <c r="AF135" i="1" a="1"/>
  <c r="AF135" i="1" s="1"/>
  <c r="AC135" i="1" a="1"/>
  <c r="AC135" i="1" s="1"/>
  <c r="AF134" i="1" a="1"/>
  <c r="AF134" i="1" s="1"/>
  <c r="AC134" i="1" a="1"/>
  <c r="AC134" i="1" s="1"/>
  <c r="AF133" i="1" a="1"/>
  <c r="AF133" i="1" s="1"/>
  <c r="AC133" i="1"/>
  <c r="AC133" i="1" a="1"/>
  <c r="AF132" i="1" a="1"/>
  <c r="AF132" i="1" s="1"/>
  <c r="AC132" i="1" a="1"/>
  <c r="AC132" i="1" s="1"/>
  <c r="AF131" i="1" a="1"/>
  <c r="AF131" i="1" s="1"/>
  <c r="AC131" i="1" a="1"/>
  <c r="AC131" i="1" s="1"/>
  <c r="AF130" i="1" a="1"/>
  <c r="AF130" i="1" s="1"/>
  <c r="AE130" i="1" a="1"/>
  <c r="AE130" i="1" s="1"/>
  <c r="AC130" i="1" a="1"/>
  <c r="AC130" i="1" s="1"/>
  <c r="AF129" i="1" a="1"/>
  <c r="AF129" i="1" s="1"/>
  <c r="AE129" i="1" a="1"/>
  <c r="AE129" i="1" s="1"/>
  <c r="AF128" i="1" a="1"/>
  <c r="AF128" i="1" s="1"/>
  <c r="AC128" i="1" a="1"/>
  <c r="AC128" i="1" s="1"/>
  <c r="AF127" i="1" a="1"/>
  <c r="AF127" i="1" s="1"/>
  <c r="AC127" i="1" a="1"/>
  <c r="AC127" i="1" s="1"/>
  <c r="AF126" i="1" a="1"/>
  <c r="AF126" i="1" s="1"/>
  <c r="AC126" i="1" a="1"/>
  <c r="AC126" i="1" s="1"/>
  <c r="AF125" i="1" a="1"/>
  <c r="AF125" i="1" s="1"/>
  <c r="AC125" i="1" a="1"/>
  <c r="AC125" i="1" s="1"/>
  <c r="AF124" i="1" a="1"/>
  <c r="AF124" i="1" s="1"/>
  <c r="AC124" i="1" a="1"/>
  <c r="AC124" i="1" s="1"/>
  <c r="AF123" i="1" a="1"/>
  <c r="AF123" i="1" s="1"/>
  <c r="AC123" i="1" a="1"/>
  <c r="AC123" i="1" s="1"/>
  <c r="AF122" i="1" a="1"/>
  <c r="AF122" i="1" s="1"/>
  <c r="AC122" i="1"/>
  <c r="AC122" i="1" a="1"/>
  <c r="AF121" i="1" a="1"/>
  <c r="AF121" i="1" s="1"/>
  <c r="AC121" i="1" a="1"/>
  <c r="AC121" i="1" s="1"/>
  <c r="AF120" i="1" a="1"/>
  <c r="AF120" i="1" s="1"/>
  <c r="AC120" i="1"/>
  <c r="AC120" i="1" a="1"/>
  <c r="AF119" i="1" a="1"/>
  <c r="AF119" i="1" s="1"/>
  <c r="AC119" i="1" a="1"/>
  <c r="AC119" i="1" s="1"/>
  <c r="AF118" i="1" a="1"/>
  <c r="AF118" i="1" s="1"/>
  <c r="AC118" i="1" a="1"/>
  <c r="AC118" i="1" s="1"/>
  <c r="AF117" i="1" a="1"/>
  <c r="AF117" i="1" s="1"/>
  <c r="AE117" i="1" a="1"/>
  <c r="AE117" i="1" s="1"/>
  <c r="AF116" i="1" a="1"/>
  <c r="AF116" i="1" s="1"/>
  <c r="AC116" i="1" a="1"/>
  <c r="AC116" i="1" s="1"/>
  <c r="AF115" i="1" a="1"/>
  <c r="AF115" i="1" s="1"/>
  <c r="AC115" i="1" a="1"/>
  <c r="AC115" i="1" s="1"/>
  <c r="AF114" i="1" a="1"/>
  <c r="AF114" i="1" s="1"/>
  <c r="AC114" i="1" a="1"/>
  <c r="AC114" i="1" s="1"/>
  <c r="AF113" i="1" a="1"/>
  <c r="AF113" i="1" s="1"/>
  <c r="AC113" i="1" a="1"/>
  <c r="AC113" i="1" s="1"/>
  <c r="AF112" i="1" a="1"/>
  <c r="AF112" i="1" s="1"/>
  <c r="AC112" i="1"/>
  <c r="AC112" i="1" a="1"/>
  <c r="AF111" i="1" a="1"/>
  <c r="AF111" i="1" s="1"/>
  <c r="AC111" i="1" a="1"/>
  <c r="AC111" i="1" s="1"/>
  <c r="AF110" i="1" a="1"/>
  <c r="AF110" i="1" s="1"/>
  <c r="AC110" i="1"/>
  <c r="AC110" i="1" a="1"/>
  <c r="AF109" i="1" a="1"/>
  <c r="AF109" i="1" s="1"/>
  <c r="AC109" i="1" a="1"/>
  <c r="AC109" i="1" s="1"/>
  <c r="AF108" i="1" a="1"/>
  <c r="AF108" i="1" s="1"/>
  <c r="AC108" i="1" a="1"/>
  <c r="AC108" i="1" s="1"/>
  <c r="AF107" i="1" a="1"/>
  <c r="AF107" i="1" s="1"/>
  <c r="AC107" i="1" a="1"/>
  <c r="AC107" i="1" s="1"/>
  <c r="AF106" i="1" a="1"/>
  <c r="AF106" i="1" s="1"/>
  <c r="AE106" i="1" a="1"/>
  <c r="AE106" i="1" s="1"/>
  <c r="AC106" i="1" a="1"/>
  <c r="AC106" i="1" s="1"/>
  <c r="AF105" i="1" a="1"/>
  <c r="AF105" i="1" s="1"/>
  <c r="AE105" i="1" a="1"/>
  <c r="AE105" i="1" s="1"/>
  <c r="AF104" i="1" a="1"/>
  <c r="AF104" i="1" s="1"/>
  <c r="AC104" i="1" a="1"/>
  <c r="AC104" i="1" s="1"/>
  <c r="AF103" i="1" a="1"/>
  <c r="AF103" i="1" s="1"/>
  <c r="AC103" i="1" a="1"/>
  <c r="AC103" i="1" s="1"/>
  <c r="AF102" i="1" a="1"/>
  <c r="AF102" i="1" s="1"/>
  <c r="AC102" i="1" a="1"/>
  <c r="AC102" i="1" s="1"/>
  <c r="AF101" i="1" a="1"/>
  <c r="AF101" i="1" s="1"/>
  <c r="AC101" i="1" a="1"/>
  <c r="AC101" i="1" s="1"/>
  <c r="AF100" i="1" a="1"/>
  <c r="AF100" i="1" s="1"/>
  <c r="AC100" i="1" a="1"/>
  <c r="AC100" i="1" s="1"/>
  <c r="AF99" i="1" a="1"/>
  <c r="AF99" i="1" s="1"/>
  <c r="AC99" i="1" a="1"/>
  <c r="AC99" i="1" s="1"/>
  <c r="AF98" i="1" a="1"/>
  <c r="AF98" i="1" s="1"/>
  <c r="AC98" i="1" a="1"/>
  <c r="AC98" i="1" s="1"/>
  <c r="AF97" i="1" a="1"/>
  <c r="AF97" i="1" s="1"/>
  <c r="AC97" i="1" a="1"/>
  <c r="AC97" i="1" s="1"/>
  <c r="AF96" i="1" a="1"/>
  <c r="AF96" i="1" s="1"/>
  <c r="AC96" i="1" a="1"/>
  <c r="AC96" i="1" s="1"/>
  <c r="AF95" i="1" a="1"/>
  <c r="AF95" i="1" s="1"/>
  <c r="AC95" i="1" a="1"/>
  <c r="AC95" i="1" s="1"/>
  <c r="AF94" i="1" a="1"/>
  <c r="AF94" i="1" s="1"/>
  <c r="AC94" i="1" a="1"/>
  <c r="AC94" i="1" s="1"/>
  <c r="AF93" i="1" a="1"/>
  <c r="AF93" i="1" s="1"/>
  <c r="AE93" i="1" a="1"/>
  <c r="AE93" i="1" s="1"/>
  <c r="AF92" i="1" a="1"/>
  <c r="AF92" i="1" s="1"/>
  <c r="AC92" i="1"/>
  <c r="AC92" i="1" a="1"/>
  <c r="AF91" i="1" a="1"/>
  <c r="AF91" i="1" s="1"/>
  <c r="AC91" i="1" a="1"/>
  <c r="AC91" i="1" s="1"/>
  <c r="AF90" i="1" a="1"/>
  <c r="AF90" i="1" s="1"/>
  <c r="AC90" i="1" a="1"/>
  <c r="AC90" i="1" s="1"/>
  <c r="AF89" i="1" a="1"/>
  <c r="AF89" i="1" s="1"/>
  <c r="AC89" i="1" a="1"/>
  <c r="AC89" i="1" s="1"/>
  <c r="AF88" i="1" a="1"/>
  <c r="AF88" i="1" s="1"/>
  <c r="AC88" i="1" a="1"/>
  <c r="AC88" i="1" s="1"/>
  <c r="AF87" i="1" a="1"/>
  <c r="AF87" i="1" s="1"/>
  <c r="AC87" i="1" a="1"/>
  <c r="AC87" i="1" s="1"/>
  <c r="AF86" i="1" a="1"/>
  <c r="AF86" i="1" s="1"/>
  <c r="AC86" i="1" a="1"/>
  <c r="AC86" i="1" s="1"/>
  <c r="AF85" i="1" a="1"/>
  <c r="AF85" i="1" s="1"/>
  <c r="AC85" i="1" a="1"/>
  <c r="AC85" i="1" s="1"/>
  <c r="AF84" i="1" a="1"/>
  <c r="AF84" i="1" s="1"/>
  <c r="AC84" i="1" a="1"/>
  <c r="AC84" i="1" s="1"/>
  <c r="AF83" i="1" a="1"/>
  <c r="AF83" i="1" s="1"/>
  <c r="AC83" i="1" a="1"/>
  <c r="AC83" i="1" s="1"/>
  <c r="AF82" i="1" a="1"/>
  <c r="AF82" i="1" s="1"/>
  <c r="AE82" i="1" a="1"/>
  <c r="AE82" i="1" s="1"/>
  <c r="AC82" i="1" a="1"/>
  <c r="AC82" i="1" s="1"/>
  <c r="AF81" i="1" a="1"/>
  <c r="AF81" i="1" s="1"/>
  <c r="AE81" i="1" a="1"/>
  <c r="AE81" i="1" s="1"/>
  <c r="AF80" i="1" a="1"/>
  <c r="AF80" i="1" s="1"/>
  <c r="AC80" i="1" a="1"/>
  <c r="AC80" i="1" s="1"/>
  <c r="AF79" i="1" a="1"/>
  <c r="AF79" i="1" s="1"/>
  <c r="AC79" i="1"/>
  <c r="AC79" i="1" a="1"/>
  <c r="AF78" i="1" a="1"/>
  <c r="AF78" i="1" s="1"/>
  <c r="AC78" i="1" a="1"/>
  <c r="AC78" i="1" s="1"/>
  <c r="AF77" i="1" a="1"/>
  <c r="AF77" i="1" s="1"/>
  <c r="AC77" i="1" a="1"/>
  <c r="AC77" i="1" s="1"/>
  <c r="AF76" i="1" a="1"/>
  <c r="AF76" i="1" s="1"/>
  <c r="AC76" i="1" a="1"/>
  <c r="AC76" i="1" s="1"/>
  <c r="AF75" i="1" a="1"/>
  <c r="AF75" i="1" s="1"/>
  <c r="AC75" i="1" a="1"/>
  <c r="AC75" i="1" s="1"/>
  <c r="AF74" i="1" a="1"/>
  <c r="AF74" i="1" s="1"/>
  <c r="AC74" i="1"/>
  <c r="AC74" i="1" a="1"/>
  <c r="AF73" i="1" a="1"/>
  <c r="AF73" i="1" s="1"/>
  <c r="AC73" i="1"/>
  <c r="AC73" i="1" a="1"/>
  <c r="AF72" i="1" a="1"/>
  <c r="AF72" i="1" s="1"/>
  <c r="AC72" i="1" a="1"/>
  <c r="AC72" i="1" s="1"/>
  <c r="AF71" i="1" a="1"/>
  <c r="AF71" i="1" s="1"/>
  <c r="AC71" i="1" a="1"/>
  <c r="AC71" i="1" s="1"/>
  <c r="AF70" i="1" a="1"/>
  <c r="AF70" i="1" s="1"/>
  <c r="AC70" i="1" a="1"/>
  <c r="AC70" i="1" s="1"/>
  <c r="AF69" i="1" a="1"/>
  <c r="AF69" i="1" s="1"/>
  <c r="AE69" i="1" a="1"/>
  <c r="AE69" i="1" s="1"/>
  <c r="AF68" i="1" a="1"/>
  <c r="AF68" i="1" s="1"/>
  <c r="AC68" i="1" a="1"/>
  <c r="AC68" i="1" s="1"/>
  <c r="AF67" i="1" a="1"/>
  <c r="AF67" i="1" s="1"/>
  <c r="AC67" i="1" a="1"/>
  <c r="AC67" i="1" s="1"/>
  <c r="AF66" i="1" a="1"/>
  <c r="AF66" i="1" s="1"/>
  <c r="AC66" i="1" a="1"/>
  <c r="AC66" i="1" s="1"/>
  <c r="AF65" i="1" a="1"/>
  <c r="AF65" i="1" s="1"/>
  <c r="AC65" i="1" a="1"/>
  <c r="AC65" i="1" s="1"/>
  <c r="R78" i="1"/>
  <c r="R96" i="1" s="1"/>
  <c r="AF64" i="1" a="1"/>
  <c r="AF64" i="1" s="1"/>
  <c r="AC64" i="1"/>
  <c r="AC64" i="1" a="1"/>
  <c r="AF63" i="1" a="1"/>
  <c r="AF63" i="1" s="1"/>
  <c r="AC63" i="1" a="1"/>
  <c r="AC63" i="1" s="1"/>
  <c r="AF62" i="1" a="1"/>
  <c r="AF62" i="1" s="1"/>
  <c r="AC62" i="1" a="1"/>
  <c r="AC62" i="1" s="1"/>
  <c r="AF61" i="1" a="1"/>
  <c r="AF61" i="1" s="1"/>
  <c r="AC61" i="1" a="1"/>
  <c r="AC61" i="1" s="1"/>
  <c r="AF60" i="1" a="1"/>
  <c r="AF60" i="1" s="1"/>
  <c r="AC60" i="1" a="1"/>
  <c r="AC60" i="1" s="1"/>
  <c r="AF59" i="1" a="1"/>
  <c r="AF59" i="1" s="1"/>
  <c r="AC59" i="1" a="1"/>
  <c r="AC59" i="1" s="1"/>
  <c r="AF58" i="1" a="1"/>
  <c r="AF58" i="1" s="1"/>
  <c r="AE58" i="1" a="1"/>
  <c r="AE58" i="1" s="1"/>
  <c r="AC58" i="1" a="1"/>
  <c r="AC58" i="1" s="1"/>
  <c r="AF57" i="1" a="1"/>
  <c r="AF57" i="1" s="1"/>
  <c r="AE57" i="1" a="1"/>
  <c r="AE57" i="1" s="1"/>
  <c r="AF56" i="1" a="1"/>
  <c r="AF56" i="1" s="1"/>
  <c r="AC56" i="1" a="1"/>
  <c r="AC56" i="1" s="1"/>
  <c r="AF55" i="1" a="1"/>
  <c r="AF55" i="1" s="1"/>
  <c r="AC55" i="1" a="1"/>
  <c r="AC55" i="1" s="1"/>
  <c r="AF54" i="1" a="1"/>
  <c r="AF54" i="1" s="1"/>
  <c r="AC54" i="1" a="1"/>
  <c r="AC54" i="1" s="1"/>
  <c r="AF53" i="1" a="1"/>
  <c r="AF53" i="1" s="1"/>
  <c r="AC53" i="1" a="1"/>
  <c r="AC53" i="1" s="1"/>
  <c r="AF52" i="1" a="1"/>
  <c r="AF52" i="1" s="1"/>
  <c r="AC52" i="1" a="1"/>
  <c r="AC52" i="1" s="1"/>
  <c r="AF51" i="1" a="1"/>
  <c r="AF51" i="1" s="1"/>
  <c r="AC51" i="1" a="1"/>
  <c r="AC51" i="1" s="1"/>
  <c r="AF50" i="1" a="1"/>
  <c r="AF50" i="1" s="1"/>
  <c r="AC50" i="1" a="1"/>
  <c r="AC50" i="1" s="1"/>
  <c r="AF49" i="1" a="1"/>
  <c r="AF49" i="1" s="1"/>
  <c r="AC49" i="1" a="1"/>
  <c r="AC49" i="1" s="1"/>
  <c r="AF48" i="1" a="1"/>
  <c r="AF48" i="1" s="1"/>
  <c r="AC48" i="1"/>
  <c r="AC48" i="1" a="1"/>
  <c r="AF47" i="1" a="1"/>
  <c r="AF47" i="1" s="1"/>
  <c r="AC47" i="1" a="1"/>
  <c r="AC47" i="1" s="1"/>
  <c r="AF46" i="1" a="1"/>
  <c r="AF46" i="1" s="1"/>
  <c r="AC46" i="1" a="1"/>
  <c r="AC46" i="1" s="1"/>
  <c r="AF45" i="1" a="1"/>
  <c r="AF45" i="1" s="1"/>
  <c r="AE45" i="1" a="1"/>
  <c r="AE45" i="1" s="1"/>
  <c r="AF44" i="1" a="1"/>
  <c r="AF44" i="1" s="1"/>
  <c r="AC44" i="1" a="1"/>
  <c r="AC44" i="1" s="1"/>
  <c r="N44" i="1"/>
  <c r="B44" i="1"/>
  <c r="AF43" i="1" a="1"/>
  <c r="AF43" i="1" s="1"/>
  <c r="AC43" i="1" a="1"/>
  <c r="AC43" i="1" s="1"/>
  <c r="N43" i="1"/>
  <c r="AE358" i="1" s="1" a="1"/>
  <c r="AE358" i="1" s="1"/>
  <c r="B43" i="1"/>
  <c r="AE346" i="1" s="1" a="1"/>
  <c r="AE346" i="1" s="1"/>
  <c r="AF42" i="1" a="1"/>
  <c r="AF42" i="1" s="1"/>
  <c r="AC42" i="1" a="1"/>
  <c r="AC42" i="1" s="1"/>
  <c r="N42" i="1"/>
  <c r="B42" i="1"/>
  <c r="C42" i="1" s="1"/>
  <c r="D42" i="1" s="1"/>
  <c r="E42" i="1" s="1"/>
  <c r="F42" i="1" s="1"/>
  <c r="G42" i="1" s="1"/>
  <c r="H42" i="1" s="1"/>
  <c r="I42" i="1" s="1"/>
  <c r="J42" i="1" s="1"/>
  <c r="K42" i="1" s="1"/>
  <c r="L42" i="1" s="1"/>
  <c r="AF41" i="1" a="1"/>
  <c r="AF41" i="1" s="1"/>
  <c r="AC41" i="1"/>
  <c r="AC41" i="1" a="1"/>
  <c r="N41" i="1"/>
  <c r="B41" i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AF40" i="1" a="1"/>
  <c r="AF40" i="1" s="1"/>
  <c r="AC40" i="1" a="1"/>
  <c r="AC40" i="1" s="1"/>
  <c r="N40" i="1"/>
  <c r="AF39" i="1" a="1"/>
  <c r="AF39" i="1" s="1"/>
  <c r="AC39" i="1" a="1"/>
  <c r="AC39" i="1" s="1"/>
  <c r="N39" i="1"/>
  <c r="AE262" i="1" s="1" a="1"/>
  <c r="AE262" i="1" s="1"/>
  <c r="AF38" i="1" a="1"/>
  <c r="AF38" i="1" s="1"/>
  <c r="AC38" i="1" a="1"/>
  <c r="AC38" i="1" s="1"/>
  <c r="N38" i="1"/>
  <c r="AE226" i="1" a="1"/>
  <c r="AE226" i="1" s="1"/>
  <c r="AF37" i="1" a="1"/>
  <c r="AF37" i="1" s="1"/>
  <c r="AC37" i="1" a="1"/>
  <c r="AC37" i="1" s="1"/>
  <c r="N37" i="1"/>
  <c r="AE214" i="1" s="1" a="1"/>
  <c r="AE214" i="1" s="1"/>
  <c r="AE202" i="1" a="1"/>
  <c r="AE202" i="1" s="1"/>
  <c r="AF36" i="1" a="1"/>
  <c r="AF36" i="1" s="1"/>
  <c r="AC36" i="1" a="1"/>
  <c r="AC36" i="1" s="1"/>
  <c r="N36" i="1"/>
  <c r="D36" i="1"/>
  <c r="AE180" i="1" s="1" a="1"/>
  <c r="AE180" i="1" s="1"/>
  <c r="C36" i="1"/>
  <c r="AF35" i="1" a="1"/>
  <c r="AF35" i="1" s="1"/>
  <c r="AC35" i="1" a="1"/>
  <c r="AC35" i="1" s="1"/>
  <c r="N35" i="1"/>
  <c r="AE166" i="1" s="1" a="1"/>
  <c r="AE166" i="1" s="1"/>
  <c r="C35" i="1"/>
  <c r="AE155" i="1" s="1" a="1"/>
  <c r="AE155" i="1" s="1"/>
  <c r="AF34" i="1" a="1"/>
  <c r="AF34" i="1" s="1"/>
  <c r="AE34" i="1" a="1"/>
  <c r="AE34" i="1" s="1"/>
  <c r="AC34" i="1" a="1"/>
  <c r="AC34" i="1" s="1"/>
  <c r="N34" i="1"/>
  <c r="C34" i="1"/>
  <c r="AE131" i="1" s="1" a="1"/>
  <c r="AE131" i="1" s="1"/>
  <c r="AF33" i="1" a="1"/>
  <c r="AF33" i="1" s="1"/>
  <c r="AE33" i="1" a="1"/>
  <c r="AE33" i="1" s="1"/>
  <c r="N33" i="1"/>
  <c r="AE118" i="1" s="1" a="1"/>
  <c r="AE118" i="1" s="1"/>
  <c r="C33" i="1"/>
  <c r="AE107" i="1" s="1" a="1"/>
  <c r="AE107" i="1" s="1"/>
  <c r="AF32" i="1" a="1"/>
  <c r="AF32" i="1" s="1"/>
  <c r="AC32" i="1" a="1"/>
  <c r="AC32" i="1" s="1"/>
  <c r="N32" i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C32" i="1"/>
  <c r="D32" i="1" s="1"/>
  <c r="AF31" i="1" a="1"/>
  <c r="AF31" i="1" s="1"/>
  <c r="AC31" i="1" a="1"/>
  <c r="AC31" i="1" s="1"/>
  <c r="N31" i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C31" i="1"/>
  <c r="AE59" i="1" s="1" a="1"/>
  <c r="AE59" i="1" s="1"/>
  <c r="AF30" i="1" a="1"/>
  <c r="AF30" i="1" s="1"/>
  <c r="AC30" i="1" a="1"/>
  <c r="AC30" i="1" s="1"/>
  <c r="N30" i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C30" i="1"/>
  <c r="AE35" i="1" s="1" a="1"/>
  <c r="AE35" i="1" s="1"/>
  <c r="AF29" i="1" a="1"/>
  <c r="AF29" i="1" s="1"/>
  <c r="AC29" i="1" a="1"/>
  <c r="AC29" i="1" s="1"/>
  <c r="C29" i="1"/>
  <c r="AE11" i="1" s="1" a="1"/>
  <c r="AE11" i="1" s="1"/>
  <c r="AF28" i="1" a="1"/>
  <c r="AF28" i="1" s="1"/>
  <c r="AC28" i="1" a="1"/>
  <c r="AC28" i="1" s="1"/>
  <c r="AF27" i="1" a="1"/>
  <c r="AF27" i="1" s="1"/>
  <c r="AC27" i="1" a="1"/>
  <c r="AC27" i="1" s="1"/>
  <c r="AF26" i="1" a="1"/>
  <c r="AF26" i="1" s="1"/>
  <c r="AC26" i="1" a="1"/>
  <c r="AC26" i="1" s="1"/>
  <c r="AF25" i="1" a="1"/>
  <c r="AF25" i="1" s="1"/>
  <c r="AC25" i="1"/>
  <c r="AC25" i="1" a="1"/>
  <c r="AF24" i="1" a="1"/>
  <c r="AF24" i="1" s="1"/>
  <c r="AC24" i="1" a="1"/>
  <c r="AC24" i="1" s="1"/>
  <c r="AF23" i="1" a="1"/>
  <c r="AF23" i="1" s="1"/>
  <c r="AC23" i="1"/>
  <c r="AC23" i="1" a="1"/>
  <c r="AF22" i="1" a="1"/>
  <c r="AF22" i="1" s="1"/>
  <c r="AE22" i="1" a="1"/>
  <c r="AE22" i="1" s="1"/>
  <c r="AC22" i="1" a="1"/>
  <c r="AC22" i="1" s="1"/>
  <c r="AF21" i="1" a="1"/>
  <c r="AF21" i="1" s="1"/>
  <c r="AE21" i="1" a="1"/>
  <c r="AE21" i="1" s="1"/>
  <c r="AF20" i="1" a="1"/>
  <c r="AF20" i="1" s="1"/>
  <c r="AC20" i="1" a="1"/>
  <c r="AC20" i="1" s="1"/>
  <c r="AF19" i="1" a="1"/>
  <c r="AF19" i="1" s="1"/>
  <c r="AC19" i="1" a="1"/>
  <c r="AC19" i="1" s="1"/>
  <c r="AF18" i="1" a="1"/>
  <c r="AF18" i="1" s="1"/>
  <c r="AC18" i="1" a="1"/>
  <c r="AC18" i="1" s="1"/>
  <c r="AF17" i="1" a="1"/>
  <c r="AF17" i="1" s="1"/>
  <c r="AC17" i="1"/>
  <c r="AC17" i="1" a="1"/>
  <c r="AF16" i="1" a="1"/>
  <c r="AF16" i="1" s="1"/>
  <c r="AC16" i="1" a="1"/>
  <c r="AC16" i="1" s="1"/>
  <c r="AF15" i="1" a="1"/>
  <c r="AF15" i="1" s="1"/>
  <c r="AC15" i="1" a="1"/>
  <c r="AC15" i="1" s="1"/>
  <c r="AF14" i="1" a="1"/>
  <c r="AF14" i="1" s="1"/>
  <c r="AC14" i="1" a="1"/>
  <c r="AC14" i="1" s="1"/>
  <c r="AF13" i="1" a="1"/>
  <c r="AF13" i="1" s="1"/>
  <c r="AC13" i="1"/>
  <c r="AC13" i="1" a="1"/>
  <c r="AF12" i="1" a="1"/>
  <c r="AF12" i="1" s="1"/>
  <c r="AC12" i="1" a="1"/>
  <c r="AC12" i="1" s="1"/>
  <c r="AF11" i="1" a="1"/>
  <c r="AF11" i="1" s="1"/>
  <c r="AC11" i="1" a="1"/>
  <c r="AC11" i="1" s="1"/>
  <c r="AF10" i="1" a="1"/>
  <c r="AF10" i="1" s="1"/>
  <c r="AE10" i="1" a="1"/>
  <c r="AE10" i="1" s="1"/>
  <c r="AC10" i="1" a="1"/>
  <c r="AC10" i="1" s="1"/>
  <c r="D30" i="1" l="1"/>
  <c r="AE95" i="1" a="1"/>
  <c r="AE95" i="1" s="1"/>
  <c r="AE310" i="1" a="1"/>
  <c r="AE310" i="1" s="1"/>
  <c r="O41" i="1"/>
  <c r="P41" i="1" s="1"/>
  <c r="Q41" i="1" s="1"/>
  <c r="R41" i="1" s="1"/>
  <c r="S41" i="1" s="1"/>
  <c r="T41" i="1" s="1"/>
  <c r="U41" i="1" s="1"/>
  <c r="V41" i="1" s="1"/>
  <c r="W41" i="1" s="1"/>
  <c r="X41" i="1" s="1"/>
  <c r="AE334" i="1" a="1"/>
  <c r="AE334" i="1" s="1"/>
  <c r="O42" i="1"/>
  <c r="P42" i="1" s="1"/>
  <c r="Q42" i="1" s="1"/>
  <c r="R42" i="1" s="1"/>
  <c r="S42" i="1" s="1"/>
  <c r="T42" i="1" s="1"/>
  <c r="U42" i="1" s="1"/>
  <c r="V42" i="1" s="1"/>
  <c r="W42" i="1" s="1"/>
  <c r="X42" i="1" s="1"/>
  <c r="AE370" i="1" a="1"/>
  <c r="AE370" i="1" s="1"/>
  <c r="C44" i="1"/>
  <c r="D29" i="1"/>
  <c r="AE286" i="1" a="1"/>
  <c r="AE286" i="1" s="1"/>
  <c r="O40" i="1"/>
  <c r="P40" i="1" s="1"/>
  <c r="Q40" i="1" s="1"/>
  <c r="R40" i="1" s="1"/>
  <c r="S40" i="1" s="1"/>
  <c r="T40" i="1" s="1"/>
  <c r="U40" i="1" s="1"/>
  <c r="V40" i="1" s="1"/>
  <c r="W40" i="1" s="1"/>
  <c r="X40" i="1" s="1"/>
  <c r="AE238" i="1" a="1"/>
  <c r="AE238" i="1" s="1"/>
  <c r="O38" i="1"/>
  <c r="P38" i="1" s="1"/>
  <c r="Q38" i="1" s="1"/>
  <c r="R38" i="1" s="1"/>
  <c r="S38" i="1" s="1"/>
  <c r="T38" i="1" s="1"/>
  <c r="U38" i="1" s="1"/>
  <c r="V38" i="1" s="1"/>
  <c r="W38" i="1" s="1"/>
  <c r="X38" i="1" s="1"/>
  <c r="AE83" i="1" a="1"/>
  <c r="AE83" i="1" s="1"/>
  <c r="AE382" i="1" a="1"/>
  <c r="AE382" i="1" s="1"/>
  <c r="O44" i="1"/>
  <c r="P44" i="1" s="1"/>
  <c r="Q44" i="1" s="1"/>
  <c r="R44" i="1" s="1"/>
  <c r="S44" i="1" s="1"/>
  <c r="T44" i="1" s="1"/>
  <c r="U44" i="1" s="1"/>
  <c r="V44" i="1" s="1"/>
  <c r="W44" i="1" s="1"/>
  <c r="X44" i="1" s="1"/>
  <c r="AE94" i="1" a="1"/>
  <c r="AE94" i="1" s="1"/>
  <c r="C43" i="1"/>
  <c r="O33" i="1"/>
  <c r="P33" i="1" s="1"/>
  <c r="Q33" i="1" s="1"/>
  <c r="R33" i="1" s="1"/>
  <c r="S33" i="1" s="1"/>
  <c r="T33" i="1" s="1"/>
  <c r="U33" i="1" s="1"/>
  <c r="V33" i="1" s="1"/>
  <c r="W33" i="1" s="1"/>
  <c r="X33" i="1" s="1"/>
  <c r="O35" i="1"/>
  <c r="P35" i="1" s="1"/>
  <c r="Q35" i="1" s="1"/>
  <c r="R35" i="1" s="1"/>
  <c r="S35" i="1" s="1"/>
  <c r="T35" i="1" s="1"/>
  <c r="U35" i="1" s="1"/>
  <c r="V35" i="1" s="1"/>
  <c r="W35" i="1" s="1"/>
  <c r="X35" i="1" s="1"/>
  <c r="AE190" i="1" a="1"/>
  <c r="AE190" i="1" s="1"/>
  <c r="O36" i="1"/>
  <c r="P36" i="1" s="1"/>
  <c r="Q36" i="1" s="1"/>
  <c r="R36" i="1" s="1"/>
  <c r="S36" i="1" s="1"/>
  <c r="T36" i="1" s="1"/>
  <c r="U36" i="1" s="1"/>
  <c r="V36" i="1" s="1"/>
  <c r="W36" i="1" s="1"/>
  <c r="X36" i="1" s="1"/>
  <c r="AE46" i="1" a="1"/>
  <c r="AE46" i="1" s="1"/>
  <c r="O37" i="1"/>
  <c r="P37" i="1" s="1"/>
  <c r="Q37" i="1" s="1"/>
  <c r="R37" i="1" s="1"/>
  <c r="S37" i="1" s="1"/>
  <c r="T37" i="1" s="1"/>
  <c r="U37" i="1" s="1"/>
  <c r="V37" i="1" s="1"/>
  <c r="W37" i="1" s="1"/>
  <c r="X37" i="1" s="1"/>
  <c r="AE142" i="1" a="1"/>
  <c r="AE142" i="1" s="1"/>
  <c r="O34" i="1"/>
  <c r="P34" i="1" s="1"/>
  <c r="Q34" i="1" s="1"/>
  <c r="R34" i="1" s="1"/>
  <c r="S34" i="1" s="1"/>
  <c r="T34" i="1" s="1"/>
  <c r="U34" i="1" s="1"/>
  <c r="V34" i="1" s="1"/>
  <c r="W34" i="1" s="1"/>
  <c r="X34" i="1" s="1"/>
  <c r="O39" i="1"/>
  <c r="P39" i="1" s="1"/>
  <c r="Q39" i="1" s="1"/>
  <c r="R39" i="1" s="1"/>
  <c r="S39" i="1" s="1"/>
  <c r="T39" i="1" s="1"/>
  <c r="U39" i="1" s="1"/>
  <c r="V39" i="1" s="1"/>
  <c r="W39" i="1" s="1"/>
  <c r="X39" i="1" s="1"/>
  <c r="O43" i="1"/>
  <c r="P43" i="1" s="1"/>
  <c r="Q43" i="1" s="1"/>
  <c r="R43" i="1" s="1"/>
  <c r="S43" i="1" s="1"/>
  <c r="T43" i="1" s="1"/>
  <c r="U43" i="1" s="1"/>
  <c r="V43" i="1" s="1"/>
  <c r="W43" i="1" s="1"/>
  <c r="X43" i="1" s="1"/>
  <c r="U71" i="1"/>
  <c r="U89" i="1" s="1"/>
  <c r="W76" i="1"/>
  <c r="X83" i="1"/>
  <c r="X101" i="1" s="1"/>
  <c r="X69" i="1"/>
  <c r="X87" i="1" s="1"/>
  <c r="D73" i="1"/>
  <c r="D91" i="1" s="1"/>
  <c r="X76" i="1"/>
  <c r="C71" i="1"/>
  <c r="C89" i="1" s="1"/>
  <c r="O80" i="1"/>
  <c r="O98" i="1" s="1"/>
  <c r="P80" i="1"/>
  <c r="P98" i="1" s="1"/>
  <c r="D71" i="1"/>
  <c r="D89" i="1" s="1"/>
  <c r="E71" i="1"/>
  <c r="E89" i="1" s="1"/>
  <c r="T77" i="1"/>
  <c r="T95" i="1" s="1"/>
  <c r="Q80" i="1"/>
  <c r="Q98" i="1" s="1"/>
  <c r="T71" i="1"/>
  <c r="T89" i="1" s="1"/>
  <c r="B74" i="1"/>
  <c r="B92" i="1" s="1"/>
  <c r="R80" i="1"/>
  <c r="R98" i="1" s="1"/>
  <c r="C74" i="1"/>
  <c r="C92" i="1" s="1"/>
  <c r="U78" i="1"/>
  <c r="U96" i="1" s="1"/>
  <c r="V78" i="1"/>
  <c r="V96" i="1" s="1"/>
  <c r="R72" i="1"/>
  <c r="R90" i="1" s="1"/>
  <c r="S72" i="1"/>
  <c r="S90" i="1" s="1"/>
  <c r="H70" i="1"/>
  <c r="H88" i="1" s="1"/>
  <c r="W75" i="1"/>
  <c r="W93" i="1" s="1"/>
  <c r="O81" i="1"/>
  <c r="O99" i="1" s="1"/>
  <c r="W69" i="1"/>
  <c r="W87" i="1" s="1"/>
  <c r="Q72" i="1"/>
  <c r="Q90" i="1" s="1"/>
  <c r="V76" i="1"/>
  <c r="S78" i="1"/>
  <c r="S96" i="1" s="1"/>
  <c r="P82" i="1"/>
  <c r="P100" i="1" s="1"/>
  <c r="V71" i="1"/>
  <c r="V89" i="1" s="1"/>
  <c r="U77" i="1"/>
  <c r="U95" i="1" s="1"/>
  <c r="F69" i="1"/>
  <c r="F87" i="1" s="1"/>
  <c r="G73" i="1"/>
  <c r="G91" i="1" s="1"/>
  <c r="R79" i="1"/>
  <c r="R97" i="1" s="1"/>
  <c r="G69" i="1"/>
  <c r="G87" i="1" s="1"/>
  <c r="L73" i="1"/>
  <c r="L91" i="1" s="1"/>
  <c r="W77" i="1"/>
  <c r="W95" i="1" s="1"/>
  <c r="S79" i="1"/>
  <c r="S97" i="1" s="1"/>
  <c r="X84" i="1"/>
  <c r="X102" i="1" s="1"/>
  <c r="T69" i="1"/>
  <c r="T87" i="1" s="1"/>
  <c r="L70" i="1"/>
  <c r="L88" i="1" s="1"/>
  <c r="N73" i="1"/>
  <c r="N91" i="1" s="1"/>
  <c r="T79" i="1"/>
  <c r="T97" i="1" s="1"/>
  <c r="P81" i="1"/>
  <c r="P99" i="1" s="1"/>
  <c r="I70" i="1"/>
  <c r="I88" i="1" s="1"/>
  <c r="E73" i="1"/>
  <c r="E91" i="1" s="1"/>
  <c r="Q79" i="1"/>
  <c r="Q97" i="1" s="1"/>
  <c r="J70" i="1"/>
  <c r="J88" i="1" s="1"/>
  <c r="X75" i="1"/>
  <c r="X93" i="1" s="1"/>
  <c r="V77" i="1"/>
  <c r="V95" i="1" s="1"/>
  <c r="N81" i="1"/>
  <c r="N99" i="1" s="1"/>
  <c r="U69" i="1"/>
  <c r="U87" i="1" s="1"/>
  <c r="O72" i="1"/>
  <c r="O90" i="1" s="1"/>
  <c r="K70" i="1"/>
  <c r="K88" i="1" s="1"/>
  <c r="V69" i="1"/>
  <c r="V87" i="1" s="1"/>
  <c r="P72" i="1"/>
  <c r="P90" i="1" s="1"/>
  <c r="U76" i="1"/>
  <c r="AE250" i="1" a="1"/>
  <c r="AE250" i="1" s="1"/>
  <c r="AE298" i="1" a="1"/>
  <c r="AE298" i="1" s="1"/>
  <c r="AE227" i="1" a="1"/>
  <c r="AE227" i="1" s="1"/>
  <c r="AE274" i="1" a="1"/>
  <c r="AE274" i="1" s="1"/>
  <c r="AE23" i="1" a="1"/>
  <c r="AE23" i="1" s="1"/>
  <c r="AE70" i="1" a="1"/>
  <c r="AE70" i="1" s="1"/>
  <c r="AE84" i="1" a="1"/>
  <c r="AE84" i="1" s="1"/>
  <c r="E32" i="1"/>
  <c r="AE36" i="1" a="1"/>
  <c r="AE36" i="1" s="1"/>
  <c r="E30" i="1"/>
  <c r="AE47" i="1" a="1"/>
  <c r="AE47" i="1" s="1"/>
  <c r="AE322" i="1" a="1"/>
  <c r="AE322" i="1" s="1"/>
  <c r="V84" i="1"/>
  <c r="V102" i="1" s="1"/>
  <c r="I84" i="1"/>
  <c r="I102" i="1" s="1"/>
  <c r="N83" i="1"/>
  <c r="N101" i="1" s="1"/>
  <c r="R82" i="1"/>
  <c r="R100" i="1" s="1"/>
  <c r="E82" i="1"/>
  <c r="E100" i="1" s="1"/>
  <c r="T81" i="1"/>
  <c r="T99" i="1" s="1"/>
  <c r="G81" i="1"/>
  <c r="G99" i="1" s="1"/>
  <c r="X80" i="1"/>
  <c r="X98" i="1" s="1"/>
  <c r="K80" i="1"/>
  <c r="K98" i="1" s="1"/>
  <c r="P79" i="1"/>
  <c r="P97" i="1" s="1"/>
  <c r="C79" i="1"/>
  <c r="C97" i="1" s="1"/>
  <c r="T78" i="1"/>
  <c r="T96" i="1" s="1"/>
  <c r="G78" i="1"/>
  <c r="G96" i="1" s="1"/>
  <c r="X77" i="1"/>
  <c r="X95" i="1" s="1"/>
  <c r="K77" i="1"/>
  <c r="P76" i="1"/>
  <c r="C76" i="1"/>
  <c r="C94" i="1" s="1"/>
  <c r="T75" i="1"/>
  <c r="T93" i="1" s="1"/>
  <c r="G75" i="1"/>
  <c r="G93" i="1" s="1"/>
  <c r="X74" i="1"/>
  <c r="X92" i="1" s="1"/>
  <c r="K74" i="1"/>
  <c r="K92" i="1" s="1"/>
  <c r="P73" i="1"/>
  <c r="P91" i="1" s="1"/>
  <c r="C73" i="1"/>
  <c r="C91" i="1" s="1"/>
  <c r="T72" i="1"/>
  <c r="T90" i="1" s="1"/>
  <c r="G72" i="1"/>
  <c r="G90" i="1" s="1"/>
  <c r="X71" i="1"/>
  <c r="X89" i="1" s="1"/>
  <c r="K71" i="1"/>
  <c r="K89" i="1" s="1"/>
  <c r="P70" i="1"/>
  <c r="P88" i="1" s="1"/>
  <c r="C70" i="1"/>
  <c r="C88" i="1" s="1"/>
  <c r="T84" i="1"/>
  <c r="T102" i="1" s="1"/>
  <c r="F84" i="1"/>
  <c r="F102" i="1" s="1"/>
  <c r="V83" i="1"/>
  <c r="V101" i="1" s="1"/>
  <c r="H83" i="1"/>
  <c r="H101" i="1" s="1"/>
  <c r="X82" i="1"/>
  <c r="X100" i="1" s="1"/>
  <c r="J82" i="1"/>
  <c r="J100" i="1" s="1"/>
  <c r="X81" i="1"/>
  <c r="X99" i="1" s="1"/>
  <c r="J81" i="1"/>
  <c r="J99" i="1" s="1"/>
  <c r="L80" i="1"/>
  <c r="L98" i="1" s="1"/>
  <c r="N79" i="1"/>
  <c r="N97" i="1" s="1"/>
  <c r="P78" i="1"/>
  <c r="P96" i="1" s="1"/>
  <c r="B78" i="1"/>
  <c r="B96" i="1" s="1"/>
  <c r="R77" i="1"/>
  <c r="R95" i="1" s="1"/>
  <c r="D77" i="1"/>
  <c r="D95" i="1" s="1"/>
  <c r="T76" i="1"/>
  <c r="F76" i="1"/>
  <c r="F94" i="1" s="1"/>
  <c r="V75" i="1"/>
  <c r="V93" i="1" s="1"/>
  <c r="H75" i="1"/>
  <c r="H93" i="1" s="1"/>
  <c r="W74" i="1"/>
  <c r="W92" i="1" s="1"/>
  <c r="I74" i="1"/>
  <c r="I92" i="1" s="1"/>
  <c r="K73" i="1"/>
  <c r="K91" i="1" s="1"/>
  <c r="N72" i="1"/>
  <c r="N90" i="1" s="1"/>
  <c r="P71" i="1"/>
  <c r="P89" i="1" s="1"/>
  <c r="B71" i="1"/>
  <c r="B89" i="1" s="1"/>
  <c r="R70" i="1"/>
  <c r="R88" i="1" s="1"/>
  <c r="D70" i="1"/>
  <c r="D88" i="1" s="1"/>
  <c r="R69" i="1"/>
  <c r="R87" i="1" s="1"/>
  <c r="E69" i="1"/>
  <c r="E87" i="1" s="1"/>
  <c r="S84" i="1"/>
  <c r="S102" i="1" s="1"/>
  <c r="E84" i="1"/>
  <c r="E102" i="1" s="1"/>
  <c r="U83" i="1"/>
  <c r="U101" i="1" s="1"/>
  <c r="G83" i="1"/>
  <c r="G101" i="1" s="1"/>
  <c r="W82" i="1"/>
  <c r="W100" i="1" s="1"/>
  <c r="I82" i="1"/>
  <c r="I100" i="1" s="1"/>
  <c r="W81" i="1"/>
  <c r="W99" i="1" s="1"/>
  <c r="I81" i="1"/>
  <c r="I99" i="1" s="1"/>
  <c r="J80" i="1"/>
  <c r="J98" i="1" s="1"/>
  <c r="L79" i="1"/>
  <c r="L97" i="1" s="1"/>
  <c r="O78" i="1"/>
  <c r="O96" i="1" s="1"/>
  <c r="Q77" i="1"/>
  <c r="Q95" i="1" s="1"/>
  <c r="C77" i="1"/>
  <c r="C95" i="1" s="1"/>
  <c r="S76" i="1"/>
  <c r="E76" i="1"/>
  <c r="E94" i="1" s="1"/>
  <c r="U75" i="1"/>
  <c r="U93" i="1" s="1"/>
  <c r="F75" i="1"/>
  <c r="F93" i="1" s="1"/>
  <c r="V74" i="1"/>
  <c r="V92" i="1" s="1"/>
  <c r="H74" i="1"/>
  <c r="H92" i="1" s="1"/>
  <c r="X73" i="1"/>
  <c r="X91" i="1" s="1"/>
  <c r="J73" i="1"/>
  <c r="J91" i="1" s="1"/>
  <c r="L72" i="1"/>
  <c r="L90" i="1" s="1"/>
  <c r="O71" i="1"/>
  <c r="O89" i="1" s="1"/>
  <c r="Q70" i="1"/>
  <c r="Q88" i="1" s="1"/>
  <c r="B70" i="1"/>
  <c r="B88" i="1" s="1"/>
  <c r="Q69" i="1"/>
  <c r="Q87" i="1" s="1"/>
  <c r="D69" i="1"/>
  <c r="D87" i="1" s="1"/>
  <c r="R84" i="1"/>
  <c r="R102" i="1" s="1"/>
  <c r="D84" i="1"/>
  <c r="D102" i="1" s="1"/>
  <c r="T83" i="1"/>
  <c r="T101" i="1" s="1"/>
  <c r="F83" i="1"/>
  <c r="F101" i="1" s="1"/>
  <c r="V82" i="1"/>
  <c r="V100" i="1" s="1"/>
  <c r="H82" i="1"/>
  <c r="H100" i="1" s="1"/>
  <c r="V81" i="1"/>
  <c r="V99" i="1" s="1"/>
  <c r="H81" i="1"/>
  <c r="H99" i="1" s="1"/>
  <c r="W80" i="1"/>
  <c r="W98" i="1" s="1"/>
  <c r="I80" i="1"/>
  <c r="I98" i="1" s="1"/>
  <c r="K79" i="1"/>
  <c r="K97" i="1" s="1"/>
  <c r="N78" i="1"/>
  <c r="N96" i="1" s="1"/>
  <c r="P77" i="1"/>
  <c r="P95" i="1" s="1"/>
  <c r="B77" i="1"/>
  <c r="B95" i="1" s="1"/>
  <c r="R76" i="1"/>
  <c r="D76" i="1"/>
  <c r="D94" i="1" s="1"/>
  <c r="S75" i="1"/>
  <c r="S93" i="1" s="1"/>
  <c r="E75" i="1"/>
  <c r="E93" i="1" s="1"/>
  <c r="U74" i="1"/>
  <c r="U92" i="1" s="1"/>
  <c r="G74" i="1"/>
  <c r="G92" i="1" s="1"/>
  <c r="W73" i="1"/>
  <c r="W91" i="1" s="1"/>
  <c r="I73" i="1"/>
  <c r="I91" i="1" s="1"/>
  <c r="K72" i="1"/>
  <c r="K90" i="1" s="1"/>
  <c r="N71" i="1"/>
  <c r="N89" i="1" s="1"/>
  <c r="O70" i="1"/>
  <c r="O88" i="1" s="1"/>
  <c r="P69" i="1"/>
  <c r="P87" i="1" s="1"/>
  <c r="C69" i="1"/>
  <c r="C87" i="1" s="1"/>
  <c r="Q84" i="1"/>
  <c r="Q102" i="1" s="1"/>
  <c r="C84" i="1"/>
  <c r="C102" i="1" s="1"/>
  <c r="S83" i="1"/>
  <c r="S101" i="1" s="1"/>
  <c r="E83" i="1"/>
  <c r="E101" i="1" s="1"/>
  <c r="U82" i="1"/>
  <c r="U100" i="1" s="1"/>
  <c r="G82" i="1"/>
  <c r="G100" i="1" s="1"/>
  <c r="U81" i="1"/>
  <c r="U99" i="1" s="1"/>
  <c r="F81" i="1"/>
  <c r="F99" i="1" s="1"/>
  <c r="V80" i="1"/>
  <c r="V98" i="1" s="1"/>
  <c r="H80" i="1"/>
  <c r="H98" i="1" s="1"/>
  <c r="X79" i="1"/>
  <c r="X97" i="1" s="1"/>
  <c r="J79" i="1"/>
  <c r="J97" i="1" s="1"/>
  <c r="L78" i="1"/>
  <c r="L96" i="1" s="1"/>
  <c r="O77" i="1"/>
  <c r="O95" i="1" s="1"/>
  <c r="Q76" i="1"/>
  <c r="B76" i="1"/>
  <c r="B94" i="1" s="1"/>
  <c r="R75" i="1"/>
  <c r="R93" i="1" s="1"/>
  <c r="D75" i="1"/>
  <c r="D93" i="1" s="1"/>
  <c r="T74" i="1"/>
  <c r="T92" i="1" s="1"/>
  <c r="F74" i="1"/>
  <c r="F92" i="1" s="1"/>
  <c r="V73" i="1"/>
  <c r="V91" i="1" s="1"/>
  <c r="H73" i="1"/>
  <c r="H91" i="1" s="1"/>
  <c r="X72" i="1"/>
  <c r="X90" i="1" s="1"/>
  <c r="J72" i="1"/>
  <c r="J90" i="1" s="1"/>
  <c r="L71" i="1"/>
  <c r="L89" i="1" s="1"/>
  <c r="N70" i="1"/>
  <c r="N88" i="1" s="1"/>
  <c r="O69" i="1"/>
  <c r="O87" i="1" s="1"/>
  <c r="B69" i="1"/>
  <c r="B87" i="1" s="1"/>
  <c r="P84" i="1"/>
  <c r="P102" i="1" s="1"/>
  <c r="B84" i="1"/>
  <c r="B102" i="1" s="1"/>
  <c r="R83" i="1"/>
  <c r="R101" i="1" s="1"/>
  <c r="D83" i="1"/>
  <c r="D101" i="1" s="1"/>
  <c r="T82" i="1"/>
  <c r="T100" i="1" s="1"/>
  <c r="F82" i="1"/>
  <c r="F100" i="1" s="1"/>
  <c r="S81" i="1"/>
  <c r="S99" i="1" s="1"/>
  <c r="E81" i="1"/>
  <c r="E99" i="1" s="1"/>
  <c r="U80" i="1"/>
  <c r="U98" i="1" s="1"/>
  <c r="G80" i="1"/>
  <c r="G98" i="1" s="1"/>
  <c r="W79" i="1"/>
  <c r="W97" i="1" s="1"/>
  <c r="I79" i="1"/>
  <c r="I97" i="1" s="1"/>
  <c r="K78" i="1"/>
  <c r="K96" i="1" s="1"/>
  <c r="N77" i="1"/>
  <c r="N95" i="1" s="1"/>
  <c r="O76" i="1"/>
  <c r="O84" i="1"/>
  <c r="O102" i="1" s="1"/>
  <c r="Q83" i="1"/>
  <c r="Q101" i="1" s="1"/>
  <c r="C83" i="1"/>
  <c r="C101" i="1" s="1"/>
  <c r="S82" i="1"/>
  <c r="S100" i="1" s="1"/>
  <c r="D82" i="1"/>
  <c r="D100" i="1" s="1"/>
  <c r="R81" i="1"/>
  <c r="R99" i="1" s="1"/>
  <c r="D81" i="1"/>
  <c r="D99" i="1" s="1"/>
  <c r="T80" i="1"/>
  <c r="T98" i="1" s="1"/>
  <c r="F80" i="1"/>
  <c r="F98" i="1" s="1"/>
  <c r="V79" i="1"/>
  <c r="V97" i="1" s="1"/>
  <c r="H79" i="1"/>
  <c r="H97" i="1" s="1"/>
  <c r="X78" i="1"/>
  <c r="X96" i="1" s="1"/>
  <c r="J78" i="1"/>
  <c r="J96" i="1" s="1"/>
  <c r="L77" i="1"/>
  <c r="N76" i="1"/>
  <c r="P75" i="1"/>
  <c r="P93" i="1" s="1"/>
  <c r="B75" i="1"/>
  <c r="B93" i="1" s="1"/>
  <c r="R74" i="1"/>
  <c r="R92" i="1" s="1"/>
  <c r="D74" i="1"/>
  <c r="D92" i="1" s="1"/>
  <c r="T73" i="1"/>
  <c r="T91" i="1" s="1"/>
  <c r="F73" i="1"/>
  <c r="F91" i="1" s="1"/>
  <c r="V72" i="1"/>
  <c r="V90" i="1" s="1"/>
  <c r="H72" i="1"/>
  <c r="H90" i="1" s="1"/>
  <c r="W71" i="1"/>
  <c r="W89" i="1" s="1"/>
  <c r="I71" i="1"/>
  <c r="I89" i="1" s="1"/>
  <c r="N84" i="1"/>
  <c r="N102" i="1" s="1"/>
  <c r="P83" i="1"/>
  <c r="P101" i="1" s="1"/>
  <c r="B83" i="1"/>
  <c r="B101" i="1" s="1"/>
  <c r="Q82" i="1"/>
  <c r="Q100" i="1" s="1"/>
  <c r="C82" i="1"/>
  <c r="C100" i="1" s="1"/>
  <c r="Q81" i="1"/>
  <c r="Q99" i="1" s="1"/>
  <c r="C81" i="1"/>
  <c r="C99" i="1" s="1"/>
  <c r="S80" i="1"/>
  <c r="S98" i="1" s="1"/>
  <c r="E80" i="1"/>
  <c r="E98" i="1" s="1"/>
  <c r="U79" i="1"/>
  <c r="U97" i="1" s="1"/>
  <c r="G79" i="1"/>
  <c r="G97" i="1" s="1"/>
  <c r="W78" i="1"/>
  <c r="W96" i="1" s="1"/>
  <c r="I78" i="1"/>
  <c r="I96" i="1" s="1"/>
  <c r="J77" i="1"/>
  <c r="L76" i="1"/>
  <c r="L94" i="1" s="1"/>
  <c r="O75" i="1"/>
  <c r="O93" i="1" s="1"/>
  <c r="Q74" i="1"/>
  <c r="Q92" i="1" s="1"/>
  <c r="H69" i="1"/>
  <c r="H87" i="1" s="1"/>
  <c r="S70" i="1"/>
  <c r="S88" i="1" s="1"/>
  <c r="F71" i="1"/>
  <c r="F89" i="1" s="1"/>
  <c r="U72" i="1"/>
  <c r="U90" i="1" s="1"/>
  <c r="O73" i="1"/>
  <c r="O91" i="1" s="1"/>
  <c r="E74" i="1"/>
  <c r="E92" i="1" s="1"/>
  <c r="C75" i="1"/>
  <c r="C93" i="1" s="1"/>
  <c r="G84" i="1"/>
  <c r="G102" i="1" s="1"/>
  <c r="I69" i="1"/>
  <c r="I87" i="1" s="1"/>
  <c r="T70" i="1"/>
  <c r="T88" i="1" s="1"/>
  <c r="G71" i="1"/>
  <c r="G89" i="1" s="1"/>
  <c r="B72" i="1"/>
  <c r="B90" i="1" s="1"/>
  <c r="W72" i="1"/>
  <c r="W90" i="1" s="1"/>
  <c r="Q73" i="1"/>
  <c r="Q91" i="1" s="1"/>
  <c r="J74" i="1"/>
  <c r="J92" i="1" s="1"/>
  <c r="I75" i="1"/>
  <c r="I93" i="1" s="1"/>
  <c r="E77" i="1"/>
  <c r="E95" i="1" s="1"/>
  <c r="C78" i="1"/>
  <c r="C96" i="1" s="1"/>
  <c r="I83" i="1"/>
  <c r="I101" i="1" s="1"/>
  <c r="H84" i="1"/>
  <c r="H102" i="1" s="1"/>
  <c r="D31" i="1"/>
  <c r="J69" i="1"/>
  <c r="J87" i="1" s="1"/>
  <c r="U70" i="1"/>
  <c r="U88" i="1" s="1"/>
  <c r="H71" i="1"/>
  <c r="H89" i="1" s="1"/>
  <c r="C72" i="1"/>
  <c r="C90" i="1" s="1"/>
  <c r="R73" i="1"/>
  <c r="R91" i="1" s="1"/>
  <c r="L74" i="1"/>
  <c r="L92" i="1" s="1"/>
  <c r="J75" i="1"/>
  <c r="J93" i="1" s="1"/>
  <c r="G76" i="1"/>
  <c r="G94" i="1" s="1"/>
  <c r="F77" i="1"/>
  <c r="F95" i="1" s="1"/>
  <c r="D78" i="1"/>
  <c r="D96" i="1" s="1"/>
  <c r="B79" i="1"/>
  <c r="B97" i="1" s="1"/>
  <c r="B82" i="1"/>
  <c r="B100" i="1" s="1"/>
  <c r="J83" i="1"/>
  <c r="J101" i="1" s="1"/>
  <c r="J84" i="1"/>
  <c r="J102" i="1" s="1"/>
  <c r="K69" i="1"/>
  <c r="K87" i="1" s="1"/>
  <c r="V70" i="1"/>
  <c r="V88" i="1" s="1"/>
  <c r="J71" i="1"/>
  <c r="J89" i="1" s="1"/>
  <c r="D72" i="1"/>
  <c r="D90" i="1" s="1"/>
  <c r="S73" i="1"/>
  <c r="S91" i="1" s="1"/>
  <c r="N74" i="1"/>
  <c r="N92" i="1" s="1"/>
  <c r="K75" i="1"/>
  <c r="K93" i="1" s="1"/>
  <c r="H76" i="1"/>
  <c r="H94" i="1" s="1"/>
  <c r="G77" i="1"/>
  <c r="G95" i="1" s="1"/>
  <c r="E78" i="1"/>
  <c r="E96" i="1" s="1"/>
  <c r="D79" i="1"/>
  <c r="D97" i="1" s="1"/>
  <c r="B80" i="1"/>
  <c r="B98" i="1" s="1"/>
  <c r="K82" i="1"/>
  <c r="K100" i="1" s="1"/>
  <c r="K83" i="1"/>
  <c r="K101" i="1" s="1"/>
  <c r="K84" i="1"/>
  <c r="K102" i="1" s="1"/>
  <c r="D33" i="1"/>
  <c r="D35" i="1"/>
  <c r="L69" i="1"/>
  <c r="L87" i="1" s="1"/>
  <c r="E70" i="1"/>
  <c r="E88" i="1" s="1"/>
  <c r="W70" i="1"/>
  <c r="W88" i="1" s="1"/>
  <c r="Q71" i="1"/>
  <c r="Q89" i="1" s="1"/>
  <c r="E72" i="1"/>
  <c r="E90" i="1" s="1"/>
  <c r="U73" i="1"/>
  <c r="U91" i="1" s="1"/>
  <c r="O74" i="1"/>
  <c r="O92" i="1" s="1"/>
  <c r="L75" i="1"/>
  <c r="L93" i="1" s="1"/>
  <c r="I76" i="1"/>
  <c r="I94" i="1" s="1"/>
  <c r="H77" i="1"/>
  <c r="H95" i="1" s="1"/>
  <c r="F78" i="1"/>
  <c r="F96" i="1" s="1"/>
  <c r="E79" i="1"/>
  <c r="E97" i="1" s="1"/>
  <c r="C80" i="1"/>
  <c r="C98" i="1" s="1"/>
  <c r="B81" i="1"/>
  <c r="B99" i="1" s="1"/>
  <c r="L82" i="1"/>
  <c r="L100" i="1" s="1"/>
  <c r="L83" i="1"/>
  <c r="L101" i="1" s="1"/>
  <c r="L84" i="1"/>
  <c r="L102" i="1" s="1"/>
  <c r="N69" i="1"/>
  <c r="N87" i="1" s="1"/>
  <c r="F70" i="1"/>
  <c r="F88" i="1" s="1"/>
  <c r="X70" i="1"/>
  <c r="X88" i="1" s="1"/>
  <c r="R71" i="1"/>
  <c r="R89" i="1" s="1"/>
  <c r="F72" i="1"/>
  <c r="F90" i="1" s="1"/>
  <c r="P74" i="1"/>
  <c r="P92" i="1" s="1"/>
  <c r="N75" i="1"/>
  <c r="N93" i="1" s="1"/>
  <c r="J76" i="1"/>
  <c r="J94" i="1" s="1"/>
  <c r="I77" i="1"/>
  <c r="I95" i="1" s="1"/>
  <c r="H78" i="1"/>
  <c r="H96" i="1" s="1"/>
  <c r="F79" i="1"/>
  <c r="F97" i="1" s="1"/>
  <c r="D80" i="1"/>
  <c r="D98" i="1" s="1"/>
  <c r="K81" i="1"/>
  <c r="K99" i="1" s="1"/>
  <c r="N82" i="1"/>
  <c r="N100" i="1" s="1"/>
  <c r="O83" i="1"/>
  <c r="O101" i="1" s="1"/>
  <c r="U84" i="1"/>
  <c r="U102" i="1" s="1"/>
  <c r="D34" i="1"/>
  <c r="E36" i="1"/>
  <c r="AE335" i="1" a="1"/>
  <c r="AE335" i="1" s="1"/>
  <c r="S69" i="1"/>
  <c r="S87" i="1" s="1"/>
  <c r="G70" i="1"/>
  <c r="G88" i="1" s="1"/>
  <c r="S71" i="1"/>
  <c r="S89" i="1" s="1"/>
  <c r="I72" i="1"/>
  <c r="I90" i="1" s="1"/>
  <c r="B73" i="1"/>
  <c r="B91" i="1" s="1"/>
  <c r="S74" i="1"/>
  <c r="S92" i="1" s="1"/>
  <c r="Q75" i="1"/>
  <c r="Q93" i="1" s="1"/>
  <c r="K76" i="1"/>
  <c r="K94" i="1" s="1"/>
  <c r="S77" i="1"/>
  <c r="S95" i="1" s="1"/>
  <c r="Q78" i="1"/>
  <c r="Q96" i="1" s="1"/>
  <c r="O79" i="1"/>
  <c r="O97" i="1" s="1"/>
  <c r="N80" i="1"/>
  <c r="N98" i="1" s="1"/>
  <c r="L81" i="1"/>
  <c r="L99" i="1" s="1"/>
  <c r="O82" i="1"/>
  <c r="O100" i="1" s="1"/>
  <c r="W83" i="1"/>
  <c r="W101" i="1" s="1"/>
  <c r="W84" i="1"/>
  <c r="W102" i="1" s="1"/>
  <c r="D44" i="1" l="1"/>
  <c r="E44" i="1" s="1"/>
  <c r="F44" i="1" s="1"/>
  <c r="G44" i="1" s="1"/>
  <c r="H44" i="1" s="1"/>
  <c r="I44" i="1" s="1"/>
  <c r="J44" i="1" s="1"/>
  <c r="K44" i="1" s="1"/>
  <c r="L44" i="1" s="1"/>
  <c r="AE371" i="1" a="1"/>
  <c r="AE371" i="1" s="1"/>
  <c r="D43" i="1"/>
  <c r="E43" i="1" s="1"/>
  <c r="F43" i="1" s="1"/>
  <c r="G43" i="1" s="1"/>
  <c r="H43" i="1" s="1"/>
  <c r="I43" i="1" s="1"/>
  <c r="J43" i="1" s="1"/>
  <c r="K43" i="1" s="1"/>
  <c r="L43" i="1" s="1"/>
  <c r="AE347" i="1" a="1"/>
  <c r="AE347" i="1" s="1"/>
  <c r="AE191" i="1" a="1"/>
  <c r="AE191" i="1" s="1"/>
  <c r="E29" i="1"/>
  <c r="AE12" i="1" a="1"/>
  <c r="AE12" i="1" s="1"/>
  <c r="AE263" i="1" a="1"/>
  <c r="AE263" i="1" s="1"/>
  <c r="AE156" i="1" a="1"/>
  <c r="AE156" i="1" s="1"/>
  <c r="E35" i="1"/>
  <c r="AE323" i="1" a="1"/>
  <c r="AE323" i="1" s="1"/>
  <c r="AE264" i="1" a="1"/>
  <c r="AE264" i="1" s="1"/>
  <c r="AE372" i="1" a="1"/>
  <c r="AE372" i="1" s="1"/>
  <c r="AE275" i="1" a="1"/>
  <c r="AE275" i="1" s="1"/>
  <c r="AE108" i="1" a="1"/>
  <c r="AE108" i="1" s="1"/>
  <c r="E33" i="1"/>
  <c r="AE359" i="1" a="1"/>
  <c r="AE359" i="1" s="1"/>
  <c r="AE192" i="1" a="1"/>
  <c r="AE192" i="1" s="1"/>
  <c r="AE348" i="1" a="1"/>
  <c r="AE348" i="1" s="1"/>
  <c r="AE48" i="1" a="1"/>
  <c r="AE48" i="1" s="1"/>
  <c r="AE228" i="1" a="1"/>
  <c r="AE228" i="1" s="1"/>
  <c r="AE311" i="1" a="1"/>
  <c r="AE311" i="1" s="1"/>
  <c r="AE37" i="1" a="1"/>
  <c r="AE37" i="1" s="1"/>
  <c r="F30" i="1"/>
  <c r="AE336" i="1" a="1"/>
  <c r="AE336" i="1" s="1"/>
  <c r="AE24" i="1" a="1"/>
  <c r="AE24" i="1" s="1"/>
  <c r="AE299" i="1" a="1"/>
  <c r="AE299" i="1" s="1"/>
  <c r="AE287" i="1" a="1"/>
  <c r="AE287" i="1" s="1"/>
  <c r="AE203" i="1" a="1"/>
  <c r="AE203" i="1" s="1"/>
  <c r="AE181" i="1" a="1"/>
  <c r="AE181" i="1" s="1"/>
  <c r="F36" i="1"/>
  <c r="AE119" i="1" a="1"/>
  <c r="AE119" i="1" s="1"/>
  <c r="AE85" i="1" a="1"/>
  <c r="AE85" i="1" s="1"/>
  <c r="F32" i="1"/>
  <c r="AE383" i="1" a="1"/>
  <c r="AE383" i="1" s="1"/>
  <c r="AE239" i="1" a="1"/>
  <c r="AE239" i="1" s="1"/>
  <c r="AE132" i="1" a="1"/>
  <c r="AE132" i="1" s="1"/>
  <c r="E34" i="1"/>
  <c r="AE167" i="1" a="1"/>
  <c r="AE167" i="1" s="1"/>
  <c r="AE96" i="1" a="1"/>
  <c r="AE96" i="1" s="1"/>
  <c r="AE60" i="1" a="1"/>
  <c r="AE60" i="1" s="1"/>
  <c r="E31" i="1"/>
  <c r="AE215" i="1" a="1"/>
  <c r="AE215" i="1" s="1"/>
  <c r="AE143" i="1" a="1"/>
  <c r="AE143" i="1" s="1"/>
  <c r="AE71" i="1" a="1"/>
  <c r="AE71" i="1" s="1"/>
  <c r="AE251" i="1" a="1"/>
  <c r="AE251" i="1" s="1"/>
  <c r="F29" i="1" l="1"/>
  <c r="AE13" i="1" a="1"/>
  <c r="AE13" i="1" s="1"/>
  <c r="AE109" i="1" a="1"/>
  <c r="AE109" i="1" s="1"/>
  <c r="F33" i="1"/>
  <c r="AE300" i="1" a="1"/>
  <c r="AE300" i="1" s="1"/>
  <c r="AE373" i="1" a="1"/>
  <c r="AE373" i="1" s="1"/>
  <c r="AE25" i="1" a="1"/>
  <c r="AE25" i="1" s="1"/>
  <c r="AE120" i="1" a="1"/>
  <c r="AE120" i="1" s="1"/>
  <c r="AE168" i="1" a="1"/>
  <c r="AE168" i="1" s="1"/>
  <c r="AE324" i="1" a="1"/>
  <c r="AE324" i="1" s="1"/>
  <c r="AE144" i="1" a="1"/>
  <c r="AE144" i="1" s="1"/>
  <c r="AE312" i="1" a="1"/>
  <c r="AE312" i="1" s="1"/>
  <c r="AE216" i="1" a="1"/>
  <c r="AE216" i="1" s="1"/>
  <c r="AE61" i="1" a="1"/>
  <c r="AE61" i="1" s="1"/>
  <c r="F31" i="1"/>
  <c r="AE86" i="1" a="1"/>
  <c r="AE86" i="1" s="1"/>
  <c r="G32" i="1"/>
  <c r="AE49" i="1" a="1"/>
  <c r="AE49" i="1" s="1"/>
  <c r="AE337" i="1" a="1"/>
  <c r="AE337" i="1" s="1"/>
  <c r="AE265" i="1" a="1"/>
  <c r="AE265" i="1" s="1"/>
  <c r="AE72" i="1" a="1"/>
  <c r="AE72" i="1" s="1"/>
  <c r="F34" i="1"/>
  <c r="AE133" i="1" a="1"/>
  <c r="AE133" i="1" s="1"/>
  <c r="AE204" i="1" a="1"/>
  <c r="AE204" i="1" s="1"/>
  <c r="AE38" i="1" a="1"/>
  <c r="AE38" i="1" s="1"/>
  <c r="G30" i="1"/>
  <c r="AE360" i="1" a="1"/>
  <c r="AE360" i="1" s="1"/>
  <c r="AE157" i="1" a="1"/>
  <c r="AE157" i="1" s="1"/>
  <c r="F35" i="1"/>
  <c r="AE240" i="1" a="1"/>
  <c r="AE240" i="1" s="1"/>
  <c r="AE288" i="1" a="1"/>
  <c r="AE288" i="1" s="1"/>
  <c r="AE384" i="1" a="1"/>
  <c r="AE384" i="1" s="1"/>
  <c r="AE229" i="1" a="1"/>
  <c r="AE229" i="1" s="1"/>
  <c r="AE276" i="1" a="1"/>
  <c r="AE276" i="1" s="1"/>
  <c r="AE97" i="1" a="1"/>
  <c r="AE97" i="1" s="1"/>
  <c r="AE349" i="1" a="1"/>
  <c r="AE349" i="1" s="1"/>
  <c r="AE252" i="1" a="1"/>
  <c r="AE252" i="1" s="1"/>
  <c r="AE182" i="1" a="1"/>
  <c r="AE182" i="1" s="1"/>
  <c r="G36" i="1"/>
  <c r="AE193" i="1" a="1"/>
  <c r="AE193" i="1" s="1"/>
  <c r="AE14" i="1" l="1" a="1"/>
  <c r="AE14" i="1" s="1"/>
  <c r="G29" i="1"/>
  <c r="AE253" i="1" a="1"/>
  <c r="AE253" i="1" s="1"/>
  <c r="AE289" i="1" a="1"/>
  <c r="AE289" i="1" s="1"/>
  <c r="AE87" i="1" a="1"/>
  <c r="AE87" i="1" s="1"/>
  <c r="H32" i="1"/>
  <c r="AE169" i="1" a="1"/>
  <c r="AE169" i="1" s="1"/>
  <c r="AE158" i="1" a="1"/>
  <c r="AE158" i="1" s="1"/>
  <c r="G35" i="1"/>
  <c r="AE217" i="1" a="1"/>
  <c r="AE217" i="1" s="1"/>
  <c r="AE350" i="1" a="1"/>
  <c r="AE350" i="1" s="1"/>
  <c r="AE26" i="1" a="1"/>
  <c r="AE26" i="1" s="1"/>
  <c r="AE241" i="1" a="1"/>
  <c r="AE241" i="1" s="1"/>
  <c r="AE277" i="1" a="1"/>
  <c r="AE277" i="1" s="1"/>
  <c r="AE361" i="1" a="1"/>
  <c r="AE361" i="1" s="1"/>
  <c r="AE266" i="1" a="1"/>
  <c r="AE266" i="1" s="1"/>
  <c r="AE313" i="1" a="1"/>
  <c r="AE313" i="1" s="1"/>
  <c r="AE374" i="1" a="1"/>
  <c r="AE374" i="1" s="1"/>
  <c r="AE194" i="1" a="1"/>
  <c r="AE194" i="1" s="1"/>
  <c r="AE230" i="1" a="1"/>
  <c r="AE230" i="1" s="1"/>
  <c r="AE39" i="1" a="1"/>
  <c r="AE39" i="1" s="1"/>
  <c r="H30" i="1"/>
  <c r="AE338" i="1" a="1"/>
  <c r="AE338" i="1" s="1"/>
  <c r="AE145" i="1" a="1"/>
  <c r="AE145" i="1" s="1"/>
  <c r="AE301" i="1" a="1"/>
  <c r="AE301" i="1" s="1"/>
  <c r="AE134" i="1" a="1"/>
  <c r="AE134" i="1" s="1"/>
  <c r="G34" i="1"/>
  <c r="AE73" i="1" a="1"/>
  <c r="AE73" i="1" s="1"/>
  <c r="AE121" i="1" a="1"/>
  <c r="AE121" i="1" s="1"/>
  <c r="AE183" i="1" a="1"/>
  <c r="AE183" i="1" s="1"/>
  <c r="H36" i="1"/>
  <c r="AE385" i="1" a="1"/>
  <c r="AE385" i="1" s="1"/>
  <c r="AE205" i="1" a="1"/>
  <c r="AE205" i="1" s="1"/>
  <c r="AE50" i="1" a="1"/>
  <c r="AE50" i="1" s="1"/>
  <c r="AE325" i="1" a="1"/>
  <c r="AE325" i="1" s="1"/>
  <c r="AE110" i="1" a="1"/>
  <c r="AE110" i="1" s="1"/>
  <c r="G33" i="1"/>
  <c r="AE62" i="1" a="1"/>
  <c r="AE62" i="1" s="1"/>
  <c r="G31" i="1"/>
  <c r="AE98" i="1" a="1"/>
  <c r="AE98" i="1" s="1"/>
  <c r="H29" i="1" l="1"/>
  <c r="AE15" i="1" a="1"/>
  <c r="AE15" i="1" s="1"/>
  <c r="AE111" i="1" a="1"/>
  <c r="AE111" i="1" s="1"/>
  <c r="H33" i="1"/>
  <c r="AE122" i="1" a="1"/>
  <c r="AE122" i="1" s="1"/>
  <c r="AE40" i="1" a="1"/>
  <c r="AE40" i="1" s="1"/>
  <c r="I30" i="1"/>
  <c r="AE362" i="1" a="1"/>
  <c r="AE362" i="1" s="1"/>
  <c r="AE302" i="1" a="1"/>
  <c r="AE302" i="1" s="1"/>
  <c r="AE375" i="1" a="1"/>
  <c r="AE375" i="1" s="1"/>
  <c r="AE27" i="1" a="1"/>
  <c r="AE27" i="1" s="1"/>
  <c r="AE88" i="1" a="1"/>
  <c r="AE88" i="1" s="1"/>
  <c r="I32" i="1"/>
  <c r="AE326" i="1" a="1"/>
  <c r="AE326" i="1" s="1"/>
  <c r="AE74" i="1" a="1"/>
  <c r="AE74" i="1" s="1"/>
  <c r="AE51" i="1" a="1"/>
  <c r="AE51" i="1" s="1"/>
  <c r="AE278" i="1" a="1"/>
  <c r="AE278" i="1" s="1"/>
  <c r="AE170" i="1" a="1"/>
  <c r="AE170" i="1" s="1"/>
  <c r="AE146" i="1" a="1"/>
  <c r="AE146" i="1" s="1"/>
  <c r="AE314" i="1" a="1"/>
  <c r="AE314" i="1" s="1"/>
  <c r="AE351" i="1" a="1"/>
  <c r="AE351" i="1" s="1"/>
  <c r="AE290" i="1" a="1"/>
  <c r="AE290" i="1" s="1"/>
  <c r="AE159" i="1" a="1"/>
  <c r="AE159" i="1" s="1"/>
  <c r="H35" i="1"/>
  <c r="AE242" i="1" a="1"/>
  <c r="AE242" i="1" s="1"/>
  <c r="AE206" i="1" a="1"/>
  <c r="AE206" i="1" s="1"/>
  <c r="AE231" i="1" a="1"/>
  <c r="AE231" i="1" s="1"/>
  <c r="AE195" i="1" a="1"/>
  <c r="AE195" i="1" s="1"/>
  <c r="AE386" i="1" a="1"/>
  <c r="AE386" i="1" s="1"/>
  <c r="AE99" i="1" a="1"/>
  <c r="AE99" i="1" s="1"/>
  <c r="AE63" i="1" a="1"/>
  <c r="AE63" i="1" s="1"/>
  <c r="H31" i="1"/>
  <c r="AE184" i="1" a="1"/>
  <c r="AE184" i="1" s="1"/>
  <c r="I36" i="1"/>
  <c r="AE339" i="1" a="1"/>
  <c r="AE339" i="1" s="1"/>
  <c r="AE267" i="1" a="1"/>
  <c r="AE267" i="1" s="1"/>
  <c r="AE218" i="1" a="1"/>
  <c r="AE218" i="1" s="1"/>
  <c r="AE254" i="1" a="1"/>
  <c r="AE254" i="1" s="1"/>
  <c r="AE135" i="1" a="1"/>
  <c r="AE135" i="1" s="1"/>
  <c r="H34" i="1"/>
  <c r="AE16" i="1" l="1" a="1"/>
  <c r="AE16" i="1" s="1"/>
  <c r="I29" i="1"/>
  <c r="AE387" i="1" a="1"/>
  <c r="AE387" i="1" s="1"/>
  <c r="AE376" i="1" a="1"/>
  <c r="AE376" i="1" s="1"/>
  <c r="AE291" i="1" a="1"/>
  <c r="AE291" i="1" s="1"/>
  <c r="AE268" i="1" a="1"/>
  <c r="AE268" i="1" s="1"/>
  <c r="AE315" i="1" a="1"/>
  <c r="AE315" i="1" s="1"/>
  <c r="AE327" i="1" a="1"/>
  <c r="AE327" i="1" s="1"/>
  <c r="AE363" i="1" a="1"/>
  <c r="AE363" i="1" s="1"/>
  <c r="AE185" i="1" a="1"/>
  <c r="AE185" i="1" s="1"/>
  <c r="J36" i="1"/>
  <c r="AE136" i="1" a="1"/>
  <c r="AE136" i="1" s="1"/>
  <c r="I34" i="1"/>
  <c r="AE243" i="1" a="1"/>
  <c r="AE243" i="1" s="1"/>
  <c r="AE89" i="1" a="1"/>
  <c r="AE89" i="1" s="1"/>
  <c r="J32" i="1"/>
  <c r="AE171" i="1" a="1"/>
  <c r="AE171" i="1" s="1"/>
  <c r="AE123" i="1" a="1"/>
  <c r="AE123" i="1" s="1"/>
  <c r="AE219" i="1" a="1"/>
  <c r="AE219" i="1" s="1"/>
  <c r="AE352" i="1" a="1"/>
  <c r="AE352" i="1" s="1"/>
  <c r="AE75" i="1" a="1"/>
  <c r="AE75" i="1" s="1"/>
  <c r="AE303" i="1" a="1"/>
  <c r="AE303" i="1" s="1"/>
  <c r="AE340" i="1" a="1"/>
  <c r="AE340" i="1" s="1"/>
  <c r="AE207" i="1" a="1"/>
  <c r="AE207" i="1" s="1"/>
  <c r="AE147" i="1" a="1"/>
  <c r="AE147" i="1" s="1"/>
  <c r="AE41" i="1" a="1"/>
  <c r="AE41" i="1" s="1"/>
  <c r="J30" i="1"/>
  <c r="AE255" i="1" a="1"/>
  <c r="AE255" i="1" s="1"/>
  <c r="AE100" i="1" a="1"/>
  <c r="AE100" i="1" s="1"/>
  <c r="AE160" i="1" a="1"/>
  <c r="AE160" i="1" s="1"/>
  <c r="I35" i="1"/>
  <c r="AE279" i="1" a="1"/>
  <c r="AE279" i="1" s="1"/>
  <c r="AE28" i="1" a="1"/>
  <c r="AE28" i="1" s="1"/>
  <c r="AE112" i="1" a="1"/>
  <c r="AE112" i="1" s="1"/>
  <c r="I33" i="1"/>
  <c r="AE52" i="1" a="1"/>
  <c r="AE52" i="1" s="1"/>
  <c r="AE196" i="1" a="1"/>
  <c r="AE196" i="1" s="1"/>
  <c r="AE232" i="1" a="1"/>
  <c r="AE232" i="1" s="1"/>
  <c r="AE64" i="1" a="1"/>
  <c r="AE64" i="1" s="1"/>
  <c r="I31" i="1"/>
  <c r="J29" i="1" l="1"/>
  <c r="AE17" i="1" a="1"/>
  <c r="AE17" i="1" s="1"/>
  <c r="AE101" i="1" a="1"/>
  <c r="AE101" i="1" s="1"/>
  <c r="AE197" i="1" a="1"/>
  <c r="AE197" i="1" s="1"/>
  <c r="AE172" i="1" a="1"/>
  <c r="AE172" i="1" s="1"/>
  <c r="AE304" i="1" a="1"/>
  <c r="AE304" i="1" s="1"/>
  <c r="K32" i="1"/>
  <c r="AE90" i="1" a="1"/>
  <c r="AE90" i="1" s="1"/>
  <c r="AE316" i="1" a="1"/>
  <c r="AE316" i="1" s="1"/>
  <c r="AE269" i="1" a="1"/>
  <c r="AE269" i="1" s="1"/>
  <c r="AE29" i="1" a="1"/>
  <c r="AE29" i="1" s="1"/>
  <c r="AE280" i="1" a="1"/>
  <c r="AE280" i="1" s="1"/>
  <c r="AE148" i="1" a="1"/>
  <c r="AE148" i="1" s="1"/>
  <c r="AE341" i="1" a="1"/>
  <c r="AE341" i="1" s="1"/>
  <c r="AE53" i="1" a="1"/>
  <c r="AE53" i="1" s="1"/>
  <c r="AE113" i="1" a="1"/>
  <c r="AE113" i="1" s="1"/>
  <c r="J33" i="1"/>
  <c r="AE244" i="1" a="1"/>
  <c r="AE244" i="1" s="1"/>
  <c r="AE76" i="1" a="1"/>
  <c r="AE76" i="1" s="1"/>
  <c r="AE353" i="1" a="1"/>
  <c r="AE353" i="1" s="1"/>
  <c r="AE137" i="1" a="1"/>
  <c r="AE137" i="1" s="1"/>
  <c r="J34" i="1"/>
  <c r="AE292" i="1" a="1"/>
  <c r="AE292" i="1" s="1"/>
  <c r="AE220" i="1" a="1"/>
  <c r="AE220" i="1" s="1"/>
  <c r="AE186" i="1" a="1"/>
  <c r="AE186" i="1" s="1"/>
  <c r="K36" i="1"/>
  <c r="AE377" i="1" a="1"/>
  <c r="AE377" i="1" s="1"/>
  <c r="AE233" i="1" a="1"/>
  <c r="AE233" i="1" s="1"/>
  <c r="AE161" i="1" a="1"/>
  <c r="AE161" i="1" s="1"/>
  <c r="J35" i="1"/>
  <c r="AE208" i="1" a="1"/>
  <c r="AE208" i="1" s="1"/>
  <c r="AE124" i="1" a="1"/>
  <c r="AE124" i="1" s="1"/>
  <c r="AE364" i="1" a="1"/>
  <c r="AE364" i="1" s="1"/>
  <c r="AE388" i="1" a="1"/>
  <c r="AE388" i="1" s="1"/>
  <c r="AE328" i="1" a="1"/>
  <c r="AE328" i="1" s="1"/>
  <c r="AE256" i="1" a="1"/>
  <c r="AE256" i="1" s="1"/>
  <c r="AE42" i="1" a="1"/>
  <c r="AE42" i="1" s="1"/>
  <c r="K30" i="1"/>
  <c r="AE65" i="1" a="1"/>
  <c r="AE65" i="1" s="1"/>
  <c r="J31" i="1"/>
  <c r="K29" i="1" l="1"/>
  <c r="AE18" i="1" a="1"/>
  <c r="AE18" i="1" s="1"/>
  <c r="AE317" i="1" a="1"/>
  <c r="AE317" i="1" s="1"/>
  <c r="AE162" i="1" a="1"/>
  <c r="AE162" i="1" s="1"/>
  <c r="K35" i="1"/>
  <c r="L30" i="1"/>
  <c r="AE44" i="1" s="1" a="1"/>
  <c r="AE44" i="1" s="1"/>
  <c r="AE43" i="1" a="1"/>
  <c r="AE43" i="1" s="1"/>
  <c r="AE257" i="1" a="1"/>
  <c r="AE257" i="1" s="1"/>
  <c r="AE293" i="1" a="1"/>
  <c r="AE293" i="1" s="1"/>
  <c r="AE138" i="1" a="1"/>
  <c r="AE138" i="1" s="1"/>
  <c r="K34" i="1"/>
  <c r="AE342" i="1" a="1"/>
  <c r="AE342" i="1" s="1"/>
  <c r="AE234" i="1" a="1"/>
  <c r="AE234" i="1" s="1"/>
  <c r="AE389" i="1" a="1"/>
  <c r="AE389" i="1" s="1"/>
  <c r="AE378" i="1" a="1"/>
  <c r="AE378" i="1" s="1"/>
  <c r="AE77" i="1" a="1"/>
  <c r="AE77" i="1" s="1"/>
  <c r="AE281" i="1" a="1"/>
  <c r="AE281" i="1" s="1"/>
  <c r="AE245" i="1" a="1"/>
  <c r="AE245" i="1" s="1"/>
  <c r="AE54" i="1" a="1"/>
  <c r="AE54" i="1" s="1"/>
  <c r="AE329" i="1" a="1"/>
  <c r="AE329" i="1" s="1"/>
  <c r="AE149" i="1" a="1"/>
  <c r="AE149" i="1" s="1"/>
  <c r="AE305" i="1" a="1"/>
  <c r="AE305" i="1" s="1"/>
  <c r="AE173" i="1" a="1"/>
  <c r="AE173" i="1" s="1"/>
  <c r="AE187" i="1" a="1"/>
  <c r="AE187" i="1" s="1"/>
  <c r="L36" i="1"/>
  <c r="AE188" i="1" s="1" a="1"/>
  <c r="AE188" i="1" s="1"/>
  <c r="AE30" i="1" a="1"/>
  <c r="AE30" i="1" s="1"/>
  <c r="K31" i="1"/>
  <c r="AE66" i="1" a="1"/>
  <c r="AE66" i="1" s="1"/>
  <c r="AE125" i="1" a="1"/>
  <c r="AE125" i="1" s="1"/>
  <c r="AE221" i="1" a="1"/>
  <c r="AE221" i="1" s="1"/>
  <c r="AE114" i="1" a="1"/>
  <c r="AE114" i="1" s="1"/>
  <c r="K33" i="1"/>
  <c r="AE270" i="1" a="1"/>
  <c r="AE270" i="1" s="1"/>
  <c r="AE102" i="1" a="1"/>
  <c r="AE102" i="1" s="1"/>
  <c r="AE209" i="1" a="1"/>
  <c r="AE209" i="1" s="1"/>
  <c r="AE91" i="1" a="1"/>
  <c r="AE91" i="1" s="1"/>
  <c r="L32" i="1"/>
  <c r="AE92" i="1" s="1" a="1"/>
  <c r="AE92" i="1" s="1"/>
  <c r="AE354" i="1" a="1"/>
  <c r="AE354" i="1" s="1"/>
  <c r="AE365" i="1" a="1"/>
  <c r="AE365" i="1" s="1"/>
  <c r="AE198" i="1" a="1"/>
  <c r="AE198" i="1" s="1"/>
  <c r="L29" i="1" l="1"/>
  <c r="AE20" i="1" s="1" a="1"/>
  <c r="AE20" i="1" s="1"/>
  <c r="AE19" i="1" a="1"/>
  <c r="AE19" i="1" s="1"/>
  <c r="AE355" i="1" a="1"/>
  <c r="AE355" i="1" s="1"/>
  <c r="AE356" i="1" a="1"/>
  <c r="AE356" i="1" s="1"/>
  <c r="AE294" i="1" a="1"/>
  <c r="AE294" i="1" s="1"/>
  <c r="AE282" i="1" a="1"/>
  <c r="AE282" i="1" s="1"/>
  <c r="AE139" i="1" a="1"/>
  <c r="AE139" i="1" s="1"/>
  <c r="L34" i="1"/>
  <c r="AE140" i="1" s="1" a="1"/>
  <c r="AE140" i="1" s="1"/>
  <c r="AE78" i="1" a="1"/>
  <c r="AE78" i="1" s="1"/>
  <c r="AE115" i="1" a="1"/>
  <c r="AE115" i="1" s="1"/>
  <c r="L33" i="1"/>
  <c r="AE116" i="1" s="1" a="1"/>
  <c r="AE116" i="1" s="1"/>
  <c r="AE222" i="1" a="1"/>
  <c r="AE222" i="1" s="1"/>
  <c r="AE210" i="1" a="1"/>
  <c r="AE210" i="1" s="1"/>
  <c r="AE31" i="1" a="1"/>
  <c r="AE31" i="1" s="1"/>
  <c r="AE32" i="1" a="1"/>
  <c r="AE32" i="1" s="1"/>
  <c r="AE55" i="1" a="1"/>
  <c r="AE55" i="1" s="1"/>
  <c r="AE56" i="1" a="1"/>
  <c r="AE56" i="1" s="1"/>
  <c r="AE366" i="1" a="1"/>
  <c r="AE366" i="1" s="1"/>
  <c r="AE306" i="1" a="1"/>
  <c r="AE306" i="1" s="1"/>
  <c r="AE126" i="1" a="1"/>
  <c r="AE126" i="1" s="1"/>
  <c r="AE379" i="1" a="1"/>
  <c r="AE379" i="1" s="1"/>
  <c r="AE380" i="1" a="1"/>
  <c r="AE380" i="1" s="1"/>
  <c r="AE258" i="1" a="1"/>
  <c r="AE258" i="1" s="1"/>
  <c r="AE67" i="1" a="1"/>
  <c r="AE67" i="1" s="1"/>
  <c r="L31" i="1"/>
  <c r="AE68" i="1" s="1" a="1"/>
  <c r="AE68" i="1" s="1"/>
  <c r="AE103" i="1" a="1"/>
  <c r="AE103" i="1" s="1"/>
  <c r="AE104" i="1" a="1"/>
  <c r="AE104" i="1" s="1"/>
  <c r="AE235" i="1" a="1"/>
  <c r="AE235" i="1" s="1"/>
  <c r="AE236" i="1" a="1"/>
  <c r="AE236" i="1" s="1"/>
  <c r="AE199" i="1" a="1"/>
  <c r="AE199" i="1" s="1"/>
  <c r="AE200" i="1" a="1"/>
  <c r="AE200" i="1" s="1"/>
  <c r="AE271" i="1" a="1"/>
  <c r="AE271" i="1" s="1"/>
  <c r="AE272" i="1" a="1"/>
  <c r="AE272" i="1" s="1"/>
  <c r="AE246" i="1" a="1"/>
  <c r="AE246" i="1" s="1"/>
  <c r="AE343" i="1" a="1"/>
  <c r="AE343" i="1" s="1"/>
  <c r="AE344" i="1" a="1"/>
  <c r="AE344" i="1" s="1"/>
  <c r="AE318" i="1" a="1"/>
  <c r="AE318" i="1" s="1"/>
  <c r="AE174" i="1" a="1"/>
  <c r="AE174" i="1" s="1"/>
  <c r="AE150" i="1" a="1"/>
  <c r="AE150" i="1" s="1"/>
  <c r="AE330" i="1" a="1"/>
  <c r="AE330" i="1" s="1"/>
  <c r="AE390" i="1" a="1"/>
  <c r="AE390" i="1" s="1"/>
  <c r="AE163" i="1" a="1"/>
  <c r="AE163" i="1" s="1"/>
  <c r="L35" i="1"/>
  <c r="AE164" i="1" s="1" a="1"/>
  <c r="AE164" i="1" s="1"/>
  <c r="AE175" i="1" l="1" a="1"/>
  <c r="AE175" i="1" s="1"/>
  <c r="AE176" i="1" a="1"/>
  <c r="AE176" i="1" s="1"/>
  <c r="AE307" i="1" a="1"/>
  <c r="AE307" i="1" s="1"/>
  <c r="AE308" i="1" a="1"/>
  <c r="AE308" i="1" s="1"/>
  <c r="AE79" i="1" a="1"/>
  <c r="AE79" i="1" s="1"/>
  <c r="AE80" i="1" a="1"/>
  <c r="AE80" i="1" s="1"/>
  <c r="AE248" i="1" a="1"/>
  <c r="AE248" i="1" s="1"/>
  <c r="AE247" i="1" a="1"/>
  <c r="AE247" i="1" s="1"/>
  <c r="AE283" i="1" a="1"/>
  <c r="AE283" i="1" s="1"/>
  <c r="AE284" i="1" a="1"/>
  <c r="AE284" i="1" s="1"/>
  <c r="AE211" i="1" a="1"/>
  <c r="AE211" i="1" s="1"/>
  <c r="AE212" i="1" a="1"/>
  <c r="AE212" i="1" s="1"/>
  <c r="AE295" i="1" a="1"/>
  <c r="AE295" i="1" s="1"/>
  <c r="AE296" i="1" a="1"/>
  <c r="AE296" i="1" s="1"/>
  <c r="AE319" i="1" a="1"/>
  <c r="AE319" i="1" s="1"/>
  <c r="AE320" i="1" a="1"/>
  <c r="AE320" i="1" s="1"/>
  <c r="AE367" i="1" a="1"/>
  <c r="AE367" i="1" s="1"/>
  <c r="AE368" i="1" a="1"/>
  <c r="AE368" i="1" s="1"/>
  <c r="AE391" i="1" a="1"/>
  <c r="AE391" i="1" s="1"/>
  <c r="AE392" i="1" a="1"/>
  <c r="AE392" i="1" s="1"/>
  <c r="AE259" i="1" a="1"/>
  <c r="AE259" i="1" s="1"/>
  <c r="AE260" i="1" a="1"/>
  <c r="AE260" i="1" s="1"/>
  <c r="AE151" i="1" a="1"/>
  <c r="AE151" i="1" s="1"/>
  <c r="AE152" i="1" a="1"/>
  <c r="AE152" i="1" s="1"/>
  <c r="AE223" i="1" a="1"/>
  <c r="AE223" i="1" s="1"/>
  <c r="AE224" i="1" a="1"/>
  <c r="AE224" i="1" s="1"/>
  <c r="AE331" i="1" a="1"/>
  <c r="AE331" i="1" s="1"/>
  <c r="AE332" i="1" a="1"/>
  <c r="AE332" i="1" s="1"/>
  <c r="AE127" i="1" a="1"/>
  <c r="AE127" i="1" s="1"/>
  <c r="AE128" i="1" a="1"/>
  <c r="AE12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<sst xmlns="http://schemas.openxmlformats.org/spreadsheetml/2006/main" count="1219" uniqueCount="425">
  <si>
    <t>384 Well Plate Map</t>
  </si>
  <si>
    <r>
      <rPr>
        <b/>
        <sz val="12"/>
        <color theme="1"/>
        <rFont val="Calibri"/>
        <family val="2"/>
        <scheme val="minor"/>
      </rPr>
      <t>Experiment</t>
    </r>
    <r>
      <rPr>
        <sz val="12"/>
        <color theme="1"/>
        <rFont val="Calibri"/>
        <family val="2"/>
        <scheme val="minor"/>
      </rPr>
      <t>: Screening blood-stage inhibitors designed using AI-based peptide design algorithms from Jinich lab.</t>
    </r>
  </si>
  <si>
    <r>
      <t xml:space="preserve">Parameters: </t>
    </r>
    <r>
      <rPr>
        <sz val="12"/>
        <color theme="1"/>
        <rFont val="Calibri"/>
        <family val="2"/>
        <scheme val="minor"/>
      </rPr>
      <t>ABS screening assay - 2-fold serial dilutions</t>
    </r>
    <r>
      <rPr>
        <b/>
        <sz val="12"/>
        <color theme="1"/>
        <rFont val="Calibri"/>
        <family val="2"/>
        <scheme val="minor"/>
      </rPr>
      <t xml:space="preserve">. </t>
    </r>
  </si>
  <si>
    <t>Plate Name</t>
  </si>
  <si>
    <t>Well Location</t>
  </si>
  <si>
    <t>CMPD</t>
  </si>
  <si>
    <t>Batch Name</t>
  </si>
  <si>
    <t>Concentration</t>
  </si>
  <si>
    <t>DATA</t>
  </si>
  <si>
    <t>A</t>
  </si>
  <si>
    <t>ATQ</t>
  </si>
  <si>
    <t>B1</t>
  </si>
  <si>
    <t>Plate1_9.19.25</t>
  </si>
  <si>
    <t>A1</t>
  </si>
  <si>
    <t>B</t>
  </si>
  <si>
    <t>A2</t>
  </si>
  <si>
    <t>C</t>
  </si>
  <si>
    <t>GNF179</t>
  </si>
  <si>
    <t>B4</t>
  </si>
  <si>
    <t>A3</t>
  </si>
  <si>
    <t>D</t>
  </si>
  <si>
    <t>A4</t>
  </si>
  <si>
    <t>E</t>
  </si>
  <si>
    <t>PBS</t>
  </si>
  <si>
    <t>B6</t>
  </si>
  <si>
    <t>A5</t>
  </si>
  <si>
    <t>F</t>
  </si>
  <si>
    <t>A6</t>
  </si>
  <si>
    <t>G</t>
  </si>
  <si>
    <t>B7</t>
  </si>
  <si>
    <t>A7</t>
  </si>
  <si>
    <t>H</t>
  </si>
  <si>
    <t>A8</t>
  </si>
  <si>
    <t>I</t>
  </si>
  <si>
    <t>Cy.003</t>
  </si>
  <si>
    <t>B8</t>
  </si>
  <si>
    <t>A9</t>
  </si>
  <si>
    <t>J</t>
  </si>
  <si>
    <t>A10</t>
  </si>
  <si>
    <t>K</t>
  </si>
  <si>
    <t>R5.004</t>
  </si>
  <si>
    <t>B9</t>
  </si>
  <si>
    <t>A11</t>
  </si>
  <si>
    <t>L</t>
  </si>
  <si>
    <t>A12</t>
  </si>
  <si>
    <t>M</t>
  </si>
  <si>
    <t>B10</t>
  </si>
  <si>
    <t>A13</t>
  </si>
  <si>
    <t>N</t>
  </si>
  <si>
    <t>A14</t>
  </si>
  <si>
    <t>O</t>
  </si>
  <si>
    <t>B11</t>
  </si>
  <si>
    <t>A15</t>
  </si>
  <si>
    <t>P</t>
  </si>
  <si>
    <t>A16</t>
  </si>
  <si>
    <t>A17</t>
  </si>
  <si>
    <t>A18</t>
  </si>
  <si>
    <t>Concentrations (µM or mg/mL)</t>
  </si>
  <si>
    <t>A19</t>
  </si>
  <si>
    <t>A20</t>
  </si>
  <si>
    <t>A21</t>
  </si>
  <si>
    <t>A22</t>
  </si>
  <si>
    <t>A23</t>
  </si>
  <si>
    <t>A24</t>
  </si>
  <si>
    <t>B2</t>
  </si>
  <si>
    <t>B3</t>
  </si>
  <si>
    <t>B5</t>
  </si>
  <si>
    <t>B12</t>
  </si>
  <si>
    <t>B13</t>
  </si>
  <si>
    <t>Data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</si>
  <si>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</si>
  <si>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</si>
  <si>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</si>
  <si>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</si>
  <si>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</si>
  <si>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</si>
  <si>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</si>
  <si>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</si>
  <si>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</si>
  <si>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</si>
  <si>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</si>
  <si>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</si>
  <si>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</si>
  <si>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</si>
  <si>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</si>
  <si>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</si>
  <si>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</si>
  <si>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</si>
  <si>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Min</t>
  </si>
  <si>
    <t xml:space="preserve">Max </t>
  </si>
  <si>
    <t>C8</t>
  </si>
  <si>
    <t>C9</t>
  </si>
  <si>
    <t>C10</t>
  </si>
  <si>
    <t>Normalized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</si>
  <si>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</si>
  <si>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</si>
  <si>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</si>
  <si>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</si>
  <si>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</si>
  <si>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</si>
  <si>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</si>
  <si>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</si>
  <si>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</si>
  <si>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</si>
  <si>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</si>
  <si>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</si>
  <si>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</si>
  <si>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</si>
  <si>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</si>
  <si>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</si>
  <si>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</si>
  <si>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</si>
  <si>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% Inhibition</t>
  </si>
  <si>
    <t>D5</t>
  </si>
  <si>
    <t>D6</t>
  </si>
  <si>
    <t>D7</t>
  </si>
  <si>
    <t>D8</t>
  </si>
  <si>
    <t>D9</t>
  </si>
  <si>
    <t>D10</t>
  </si>
  <si>
    <t>D11</t>
  </si>
  <si>
    <t>D12</t>
  </si>
  <si>
    <t>Empty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</si>
  <si>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</si>
  <si>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</si>
  <si>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</si>
  <si>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</si>
  <si>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</si>
  <si>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</si>
  <si>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</si>
  <si>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</si>
  <si>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</si>
  <si>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</si>
  <si>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</si>
  <si>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</si>
  <si>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</si>
  <si>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</si>
  <si>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</si>
  <si>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</si>
  <si>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</si>
  <si>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</si>
  <si>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</si>
  <si>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</si>
  <si>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</si>
  <si>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</si>
  <si>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</si>
  <si>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</si>
  <si>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</si>
  <si>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</si>
  <si>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</si>
  <si>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</si>
  <si>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</si>
  <si>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</si>
  <si>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</si>
  <si>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</si>
  <si>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</si>
  <si>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</si>
  <si>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</si>
  <si>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</si>
  <si>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</si>
  <si>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</si>
  <si>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</si>
  <si>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</si>
  <si>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</si>
  <si>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</si>
  <si>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</si>
  <si>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</si>
  <si>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</si>
  <si>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</si>
  <si>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</si>
  <si>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</si>
  <si>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</si>
  <si>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</si>
  <si>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</si>
  <si>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</si>
  <si>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</si>
  <si>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</si>
  <si>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</si>
  <si>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</si>
  <si>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</si>
  <si>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</si>
  <si>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</si>
  <si>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</si>
  <si>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</si>
  <si>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</si>
  <si>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</si>
  <si>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</si>
  <si>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</si>
  <si>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</si>
  <si>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</si>
  <si>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</si>
  <si>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</si>
  <si>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</si>
  <si>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</si>
  <si>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</si>
  <si>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</si>
  <si>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</si>
  <si>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</si>
  <si>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</si>
  <si>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</si>
  <si>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</si>
  <si>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</si>
  <si>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</si>
  <si>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</si>
  <si>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</si>
  <si>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</si>
  <si>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</si>
  <si>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</si>
  <si>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</si>
  <si>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</si>
  <si>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</si>
  <si>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</si>
  <si>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</si>
  <si>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</si>
  <si>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</si>
  <si>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</si>
  <si>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</si>
  <si>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</si>
  <si>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</si>
  <si>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</si>
  <si>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</si>
  <si>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</si>
  <si>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</si>
  <si>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</si>
  <si>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</si>
  <si>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</si>
  <si>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</si>
  <si>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</si>
  <si>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</si>
  <si>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</si>
  <si>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</si>
  <si>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</si>
  <si>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</si>
  <si>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</si>
  <si>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</si>
  <si>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</si>
  <si>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</si>
  <si>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</si>
  <si>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</si>
  <si>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</si>
  <si>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</si>
  <si>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</si>
  <si>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</si>
  <si>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</si>
  <si>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</si>
  <si>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</si>
  <si>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</si>
  <si>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</si>
  <si>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</si>
  <si>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</si>
  <si>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</si>
  <si>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</si>
  <si>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</si>
  <si>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</si>
  <si>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</si>
  <si>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</si>
  <si>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</si>
  <si>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</si>
  <si>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</si>
  <si>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</si>
  <si>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</si>
  <si>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</si>
  <si>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</si>
  <si>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</si>
  <si>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</si>
  <si>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</si>
  <si>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</si>
  <si>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</si>
  <si>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</si>
  <si>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</si>
  <si>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</si>
  <si>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</si>
  <si>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</si>
  <si>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</si>
  <si>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</si>
  <si>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</si>
  <si>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</si>
  <si>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</si>
  <si>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</si>
  <si>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</si>
  <si>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</si>
  <si>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</si>
  <si>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</si>
  <si>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</si>
  <si>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</si>
  <si>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</si>
  <si>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</si>
  <si>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</si>
  <si>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</si>
  <si>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</si>
  <si>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</si>
  <si>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</si>
  <si>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</si>
  <si>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</si>
  <si>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</si>
  <si>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</si>
  <si>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</si>
  <si>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</si>
  <si>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</si>
  <si>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</si>
  <si>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</si>
  <si>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</si>
  <si>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</si>
  <si>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</si>
  <si>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</si>
  <si>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</si>
  <si>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</si>
  <si>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</si>
  <si>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</si>
  <si>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</si>
  <si>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</si>
  <si>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</si>
  <si>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</si>
  <si>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</si>
  <si>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</si>
  <si>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</si>
  <si>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</si>
  <si>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</si>
  <si>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</si>
  <si>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</si>
  <si>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</si>
  <si>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</si>
  <si>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</si>
  <si>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</si>
  <si>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</si>
  <si>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</si>
  <si>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</si>
  <si>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</si>
  <si>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</si>
  <si>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</si>
  <si>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</si>
  <si>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</si>
  <si>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</si>
  <si>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</si>
  <si>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</si>
  <si>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</si>
  <si>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</si>
  <si>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</si>
  <si>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</si>
  <si>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</si>
  <si>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</si>
  <si>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</si>
  <si>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</si>
  <si>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</si>
  <si>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</si>
  <si>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</si>
  <si>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</si>
  <si>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</si>
  <si>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</si>
  <si>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</si>
  <si>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</si>
  <si>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</si>
  <si>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</si>
  <si>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</si>
  <si>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</si>
  <si>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</si>
  <si>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</si>
  <si>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</si>
  <si>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</si>
  <si>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</si>
  <si>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</si>
  <si>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</si>
  <si>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</si>
  <si>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</si>
  <si>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</si>
  <si>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</si>
  <si>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</si>
  <si>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</si>
  <si>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</si>
  <si>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</si>
  <si>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</si>
  <si>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</si>
  <si>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</si>
  <si>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</si>
  <si>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</si>
  <si>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</si>
  <si>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</si>
  <si>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</si>
  <si>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</si>
  <si>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</si>
  <si>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</si>
  <si>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</si>
  <si>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</si>
  <si>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</si>
  <si>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</si>
  <si>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</si>
  <si>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</si>
  <si>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</si>
  <si>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</si>
  <si>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</si>
  <si>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</si>
  <si>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</si>
  <si>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</si>
  <si>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</si>
  <si>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</si>
  <si>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</si>
  <si>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</si>
  <si>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</si>
  <si>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</si>
  <si>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</si>
  <si>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</si>
  <si>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</si>
  <si>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</si>
  <si>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</si>
  <si>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</si>
  <si>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</si>
  <si>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</si>
  <si>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</si>
  <si>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</si>
  <si>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</si>
  <si>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</si>
  <si>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</si>
  <si>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</si>
  <si>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</si>
  <si>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</si>
  <si>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</si>
  <si>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</si>
  <si>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</si>
  <si>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</si>
  <si>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</si>
  <si>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</si>
  <si>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</si>
  <si>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</si>
  <si>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r>
      <t xml:space="preserve">Date and Experimenter(s): </t>
    </r>
    <r>
      <rPr>
        <sz val="12"/>
        <color theme="1"/>
        <rFont val="Calibri"/>
        <family val="2"/>
        <scheme val="minor"/>
      </rPr>
      <t>12/19/25, JH</t>
    </r>
  </si>
  <si>
    <r>
      <t xml:space="preserve">Misc: </t>
    </r>
    <r>
      <rPr>
        <sz val="12"/>
        <color theme="1"/>
        <rFont val="Calibri"/>
        <family val="2"/>
        <scheme val="minor"/>
      </rPr>
      <t>10µL serial dilution in 3-fold (15µL top conc; 10µL H2O rest of the columns). 40µL of 0.5% parasitemia, 0.6% hematocrit BCM to get 0.5% parasitemia, 0.5% hematocrit final.</t>
    </r>
    <r>
      <rPr>
        <b/>
        <sz val="12"/>
        <color theme="1"/>
        <rFont val="Calibri"/>
        <family val="2"/>
        <scheme val="minor"/>
      </rPr>
      <t xml:space="preserve"> S</t>
    </r>
    <r>
      <rPr>
        <sz val="12"/>
        <color theme="1"/>
        <rFont val="Calibri"/>
        <family val="2"/>
        <scheme val="minor"/>
      </rPr>
      <t>eeded from 2.2% mostly ring-stage Dd2-Luc. 5µM top concentration due to EC50s of top 12 ASOs being &lt;200nM</t>
    </r>
    <r>
      <rPr>
        <b/>
        <sz val="12"/>
        <color theme="1"/>
        <rFont val="Calibri"/>
        <family val="2"/>
        <scheme val="minor"/>
      </rPr>
      <t xml:space="preserve"> </t>
    </r>
  </si>
  <si>
    <r>
      <t>Observations:</t>
    </r>
    <r>
      <rPr>
        <sz val="12"/>
        <color theme="1"/>
        <rFont val="Calibri"/>
        <family val="2"/>
        <scheme val="minor"/>
      </rPr>
      <t xml:space="preserve"> Integra error in H13-23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and I9-11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</si>
</sst>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Helvetica"/>
      <family val="2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5" fillId="3" borderId="6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11F-3E14-2C47-9B9C-6C690E8FCB87}">
  <dimension ref="A1:AF393"/>
  <sheetViews>
    <sheetView tabSelected="1" zoomScale="82" workbookViewId="0">
      <selection activeCell="A9" sqref="A9"/>
    </sheetView>
  </sheetViews>
  <sheetFormatPr baseColWidth="10" defaultRowHeight="16" x14ac:dyDescent="0.2"/>
  <cols>
    <col min="1" max="1" width="26.33203125" customWidth="1"/>
    <col min="2" max="8" width="11" bestFit="1" customWidth="1"/>
    <col min="9" max="12" width="12.1640625" bestFit="1" customWidth="1"/>
    <col min="13" max="25" width="11" bestFit="1" customWidth="1"/>
    <col min="27" max="27" width="14.33203125" bestFit="1" customWidth="1"/>
  </cols>
  <sheetData>
    <row r="1" spans="1:32" ht="21" x14ac:dyDescent="0.25">
      <c r="A1" s="1" t="s">
        <v>0</v>
      </c>
    </row>
    <row r="3" spans="1:32" x14ac:dyDescent="0.2">
      <c r="A3" t="s">
        <v>1</v>
      </c>
      <c r="K3" s="2"/>
    </row>
    <row r="4" spans="1:32" x14ac:dyDescent="0.2">
      <c r="A4" s="2" t="s">
        <v>2</v>
      </c>
    </row>
    <row r="5" spans="1:32" x14ac:dyDescent="0.2">
      <c r="A5" s="2" t="s">
        <v>422</v>
      </c>
    </row>
    <row r="6" spans="1:32" x14ac:dyDescent="0.2">
      <c r="A6" s="2" t="s">
        <v>423</v>
      </c>
    </row>
    <row r="7" spans="1:32" x14ac:dyDescent="0.2">
      <c r="A7" s="2" t="s">
        <v>424</v>
      </c>
    </row>
    <row r="9" spans="1:32" x14ac:dyDescent="0.2">
      <c r="A9" s="3"/>
      <c r="B9" s="4">
        <v>1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  <c r="X9" s="4">
        <v>23</v>
      </c>
      <c r="Y9" s="4">
        <v>24</v>
      </c>
      <c r="AA9" s="5" t="s">
        <v>3</v>
      </c>
      <c r="AB9" s="5" t="s">
        <v>4</v>
      </c>
      <c r="AC9" s="5" t="s">
        <v>5</v>
      </c>
      <c r="AD9" s="5" t="s">
        <v>6</v>
      </c>
      <c r="AE9" s="5" t="s">
        <v>7</v>
      </c>
      <c r="AF9" s="5" t="s">
        <v>8</v>
      </c>
    </row>
    <row r="10" spans="1:32" x14ac:dyDescent="0.2">
      <c r="A10" s="4" t="s">
        <v>9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6" t="s">
        <v>10</v>
      </c>
      <c r="M10" s="6"/>
      <c r="N10" s="6" t="s">
        <v>11</v>
      </c>
      <c r="O10" s="6" t="s">
        <v>11</v>
      </c>
      <c r="P10" s="6" t="s">
        <v>11</v>
      </c>
      <c r="Q10" s="6" t="s">
        <v>11</v>
      </c>
      <c r="R10" s="6" t="s">
        <v>11</v>
      </c>
      <c r="S10" s="6" t="s">
        <v>11</v>
      </c>
      <c r="T10" s="6" t="s">
        <v>11</v>
      </c>
      <c r="U10" s="6" t="s">
        <v>11</v>
      </c>
      <c r="V10" s="6" t="s">
        <v>11</v>
      </c>
      <c r="W10" s="6" t="s">
        <v>11</v>
      </c>
      <c r="X10" s="6" t="s">
        <v>11</v>
      </c>
      <c r="Y10" s="6"/>
      <c r="AA10" s="5" t="s">
        <v>12</v>
      </c>
      <c r="AB10" s="5" t="s">
        <v>13</v>
      </c>
      <c r="AC10" s="7" t="str" cm="1">
        <f t="array" ref="AC10">INDEX($B$10:$Y$25, INT((ROW(A1)-1)/24) + 1, MOD(ROW(A1)-1, 24) + 1)</f>
        <v>ATQ</v>
      </c>
      <c r="AD10" s="5">
        <v>1</v>
      </c>
      <c r="AE10" s="5" cm="1">
        <f t="array" ref="AE10">INDEX($B$29:$Y$44, INT((ROW(A1)-1)/24) + 1, MOD(ROW(A1)-1, 24) + 1)</f>
        <v>0.1</v>
      </c>
      <c r="AF10" s="5" cm="1">
        <f t="array" ref="AF10">INDEX($B$48:$Y$63, INT((ROW(A1)-1)/24) + 1, MOD(ROW(A1)-1, 24) + 1)</f>
        <v>2000</v>
      </c>
    </row>
    <row r="11" spans="1:32" x14ac:dyDescent="0.2">
      <c r="A11" s="4" t="s">
        <v>14</v>
      </c>
      <c r="B11" s="6" t="s">
        <v>10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10</v>
      </c>
      <c r="L11" s="6" t="s">
        <v>10</v>
      </c>
      <c r="M11" s="6"/>
      <c r="N11" s="6" t="s">
        <v>11</v>
      </c>
      <c r="O11" s="6" t="s">
        <v>11</v>
      </c>
      <c r="P11" s="6" t="s">
        <v>11</v>
      </c>
      <c r="Q11" s="6" t="s">
        <v>11</v>
      </c>
      <c r="R11" s="6" t="s">
        <v>11</v>
      </c>
      <c r="S11" s="6" t="s">
        <v>11</v>
      </c>
      <c r="T11" s="6" t="s">
        <v>11</v>
      </c>
      <c r="U11" s="6" t="s">
        <v>11</v>
      </c>
      <c r="V11" s="6" t="s">
        <v>11</v>
      </c>
      <c r="W11" s="6" t="s">
        <v>11</v>
      </c>
      <c r="X11" s="6" t="s">
        <v>11</v>
      </c>
      <c r="Y11" s="6"/>
      <c r="AA11" s="5" t="s">
        <v>12</v>
      </c>
      <c r="AB11" s="5" t="s">
        <v>15</v>
      </c>
      <c r="AC11" s="7" t="str" cm="1">
        <f t="array" ref="AC11">INDEX($B$10:$Y$25, INT((ROW(A2)-1)/24) + 1, MOD(ROW(A2)-1, 24) + 1)</f>
        <v>ATQ</v>
      </c>
      <c r="AD11" s="5">
        <v>1</v>
      </c>
      <c r="AE11" s="5" cm="1">
        <f t="array" ref="AE11">INDEX($B$29:$Y$44, INT((ROW(A2)-1)/24) + 1, MOD(ROW(A2)-1, 24) + 1)</f>
        <v>3.3333333333333333E-2</v>
      </c>
      <c r="AF11" s="5" cm="1">
        <f t="array" ref="AF11">INDEX($B$48:$Y$63, INT((ROW(A2)-1)/24) + 1, MOD(ROW(A2)-1, 24) + 1)</f>
        <v>2885</v>
      </c>
    </row>
    <row r="12" spans="1:32" x14ac:dyDescent="0.2">
      <c r="A12" s="4" t="s">
        <v>16</v>
      </c>
      <c r="B12" s="6" t="s">
        <v>17</v>
      </c>
      <c r="C12" s="6" t="s">
        <v>17</v>
      </c>
      <c r="D12" s="6" t="s">
        <v>17</v>
      </c>
      <c r="E12" s="6" t="s">
        <v>17</v>
      </c>
      <c r="F12" s="6" t="s">
        <v>17</v>
      </c>
      <c r="G12" s="6" t="s">
        <v>17</v>
      </c>
      <c r="H12" s="6" t="s">
        <v>17</v>
      </c>
      <c r="I12" s="6" t="s">
        <v>17</v>
      </c>
      <c r="J12" s="6" t="s">
        <v>17</v>
      </c>
      <c r="K12" s="6" t="s">
        <v>17</v>
      </c>
      <c r="L12" s="6" t="s">
        <v>17</v>
      </c>
      <c r="M12" s="6"/>
      <c r="N12" s="6" t="s">
        <v>18</v>
      </c>
      <c r="O12" s="6" t="s">
        <v>18</v>
      </c>
      <c r="P12" s="6" t="s">
        <v>18</v>
      </c>
      <c r="Q12" s="6" t="s">
        <v>18</v>
      </c>
      <c r="R12" s="6" t="s">
        <v>18</v>
      </c>
      <c r="S12" s="6" t="s">
        <v>18</v>
      </c>
      <c r="T12" s="6" t="s">
        <v>18</v>
      </c>
      <c r="U12" s="6" t="s">
        <v>18</v>
      </c>
      <c r="V12" s="6" t="s">
        <v>18</v>
      </c>
      <c r="W12" s="6" t="s">
        <v>18</v>
      </c>
      <c r="X12" s="6" t="s">
        <v>18</v>
      </c>
      <c r="Y12" s="6"/>
      <c r="AA12" s="5" t="s">
        <v>12</v>
      </c>
      <c r="AB12" s="5" t="s">
        <v>19</v>
      </c>
      <c r="AC12" s="7" t="str" cm="1">
        <f t="array" ref="AC12">INDEX($B$10:$Y$25, INT((ROW(A3)-1)/24) + 1, MOD(ROW(A3)-1, 24) + 1)</f>
        <v>ATQ</v>
      </c>
      <c r="AD12" s="5">
        <v>1</v>
      </c>
      <c r="AE12" s="5" cm="1">
        <f t="array" ref="AE12">INDEX($B$29:$Y$44, INT((ROW(A3)-1)/24) + 1, MOD(ROW(A3)-1, 24) + 1)</f>
        <v>1.1111111111111112E-2</v>
      </c>
      <c r="AF12" s="5" cm="1">
        <f t="array" ref="AF12">INDEX($B$48:$Y$63, INT((ROW(A3)-1)/24) + 1, MOD(ROW(A3)-1, 24) + 1)</f>
        <v>3150</v>
      </c>
    </row>
    <row r="13" spans="1:32" x14ac:dyDescent="0.2">
      <c r="A13" s="4" t="s">
        <v>20</v>
      </c>
      <c r="B13" s="6" t="s">
        <v>17</v>
      </c>
      <c r="C13" s="6" t="s">
        <v>17</v>
      </c>
      <c r="D13" s="6" t="s">
        <v>17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6" t="s">
        <v>17</v>
      </c>
      <c r="K13" s="6" t="s">
        <v>17</v>
      </c>
      <c r="L13" s="6" t="s">
        <v>17</v>
      </c>
      <c r="M13" s="6"/>
      <c r="N13" s="6" t="s">
        <v>18</v>
      </c>
      <c r="O13" s="6" t="s">
        <v>18</v>
      </c>
      <c r="P13" s="6" t="s">
        <v>18</v>
      </c>
      <c r="Q13" s="6" t="s">
        <v>18</v>
      </c>
      <c r="R13" s="6" t="s">
        <v>18</v>
      </c>
      <c r="S13" s="6" t="s">
        <v>18</v>
      </c>
      <c r="T13" s="6" t="s">
        <v>18</v>
      </c>
      <c r="U13" s="6" t="s">
        <v>18</v>
      </c>
      <c r="V13" s="6" t="s">
        <v>18</v>
      </c>
      <c r="W13" s="6" t="s">
        <v>18</v>
      </c>
      <c r="X13" s="6" t="s">
        <v>18</v>
      </c>
      <c r="Y13" s="6"/>
      <c r="AA13" s="5" t="s">
        <v>12</v>
      </c>
      <c r="AB13" s="5" t="s">
        <v>21</v>
      </c>
      <c r="AC13" s="7" t="str" cm="1">
        <f t="array" ref="AC13">INDEX($B$10:$Y$25, INT((ROW(A4)-1)/24) + 1, MOD(ROW(A4)-1, 24) + 1)</f>
        <v>ATQ</v>
      </c>
      <c r="AD13" s="5">
        <v>1</v>
      </c>
      <c r="AE13" s="5" cm="1">
        <f t="array" ref="AE13">INDEX($B$29:$Y$44, INT((ROW(A4)-1)/24) + 1, MOD(ROW(A4)-1, 24) + 1)</f>
        <v>3.7037037037037038E-3</v>
      </c>
      <c r="AF13" s="5" cm="1">
        <f t="array" ref="AF13">INDEX($B$48:$Y$63, INT((ROW(A4)-1)/24) + 1, MOD(ROW(A4)-1, 24) + 1)</f>
        <v>11670</v>
      </c>
    </row>
    <row r="14" spans="1:32" x14ac:dyDescent="0.2">
      <c r="A14" s="4" t="s">
        <v>22</v>
      </c>
      <c r="B14" s="6" t="s">
        <v>23</v>
      </c>
      <c r="C14" s="6" t="s">
        <v>23</v>
      </c>
      <c r="D14" s="6" t="s">
        <v>23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/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6" t="s">
        <v>24</v>
      </c>
      <c r="T14" s="6" t="s">
        <v>24</v>
      </c>
      <c r="U14" s="6" t="s">
        <v>24</v>
      </c>
      <c r="V14" s="6" t="s">
        <v>24</v>
      </c>
      <c r="W14" s="6" t="s">
        <v>24</v>
      </c>
      <c r="X14" s="6" t="s">
        <v>24</v>
      </c>
      <c r="Y14" s="6"/>
      <c r="AA14" s="5" t="s">
        <v>12</v>
      </c>
      <c r="AB14" s="5" t="s">
        <v>25</v>
      </c>
      <c r="AC14" s="7" t="str" cm="1">
        <f t="array" ref="AC14">INDEX($B$10:$Y$25, INT((ROW(A5)-1)/24) + 1, MOD(ROW(A5)-1, 24) + 1)</f>
        <v>ATQ</v>
      </c>
      <c r="AD14" s="5">
        <v>1</v>
      </c>
      <c r="AE14" s="5" cm="1">
        <f t="array" ref="AE14">INDEX($B$29:$Y$44, INT((ROW(A5)-1)/24) + 1, MOD(ROW(A5)-1, 24) + 1)</f>
        <v>1.2345679012345679E-3</v>
      </c>
      <c r="AF14" s="5" cm="1">
        <f t="array" ref="AF14">INDEX($B$48:$Y$63, INT((ROW(A5)-1)/24) + 1, MOD(ROW(A5)-1, 24) + 1)</f>
        <v>63630</v>
      </c>
    </row>
    <row r="15" spans="1:32" x14ac:dyDescent="0.2">
      <c r="A15" s="4" t="s">
        <v>26</v>
      </c>
      <c r="B15" s="6" t="s">
        <v>23</v>
      </c>
      <c r="C15" s="6" t="s">
        <v>23</v>
      </c>
      <c r="D15" s="6" t="s">
        <v>23</v>
      </c>
      <c r="E15" s="6" t="s">
        <v>23</v>
      </c>
      <c r="F15" s="6" t="s">
        <v>23</v>
      </c>
      <c r="G15" s="6" t="s">
        <v>23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/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6" t="s">
        <v>24</v>
      </c>
      <c r="T15" s="6" t="s">
        <v>24</v>
      </c>
      <c r="U15" s="6" t="s">
        <v>24</v>
      </c>
      <c r="V15" s="6" t="s">
        <v>24</v>
      </c>
      <c r="W15" s="6" t="s">
        <v>24</v>
      </c>
      <c r="X15" s="6" t="s">
        <v>24</v>
      </c>
      <c r="Y15" s="6"/>
      <c r="AA15" s="5" t="s">
        <v>12</v>
      </c>
      <c r="AB15" s="5" t="s">
        <v>27</v>
      </c>
      <c r="AC15" s="7" t="str" cm="1">
        <f t="array" ref="AC15">INDEX($B$10:$Y$25, INT((ROW(A6)-1)/24) + 1, MOD(ROW(A6)-1, 24) + 1)</f>
        <v>ATQ</v>
      </c>
      <c r="AD15" s="5">
        <v>1</v>
      </c>
      <c r="AE15" s="5" cm="1">
        <f t="array" ref="AE15">INDEX($B$29:$Y$44, INT((ROW(A6)-1)/24) + 1, MOD(ROW(A6)-1, 24) + 1)</f>
        <v>4.1152263374485596E-4</v>
      </c>
      <c r="AF15" s="5" cm="1">
        <f t="array" ref="AF15">INDEX($B$48:$Y$63, INT((ROW(A6)-1)/24) + 1, MOD(ROW(A6)-1, 24) + 1)</f>
        <v>101730</v>
      </c>
    </row>
    <row r="16" spans="1:32" x14ac:dyDescent="0.2">
      <c r="A16" s="4" t="s">
        <v>28</v>
      </c>
      <c r="B16" s="6" t="s">
        <v>23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/>
      <c r="N16" s="6" t="s">
        <v>29</v>
      </c>
      <c r="O16" s="6" t="s">
        <v>29</v>
      </c>
      <c r="P16" s="6" t="s">
        <v>29</v>
      </c>
      <c r="Q16" s="6" t="s">
        <v>29</v>
      </c>
      <c r="R16" s="6" t="s">
        <v>29</v>
      </c>
      <c r="S16" s="6" t="s">
        <v>29</v>
      </c>
      <c r="T16" s="6" t="s">
        <v>29</v>
      </c>
      <c r="U16" s="6" t="s">
        <v>29</v>
      </c>
      <c r="V16" s="6" t="s">
        <v>29</v>
      </c>
      <c r="W16" s="6" t="s">
        <v>29</v>
      </c>
      <c r="X16" s="6" t="s">
        <v>29</v>
      </c>
      <c r="Y16" s="6"/>
      <c r="AA16" s="5" t="s">
        <v>12</v>
      </c>
      <c r="AB16" s="5" t="s">
        <v>30</v>
      </c>
      <c r="AC16" s="7" t="str" cm="1">
        <f t="array" ref="AC16">INDEX($B$10:$Y$25, INT((ROW(A7)-1)/24) + 1, MOD(ROW(A7)-1, 24) + 1)</f>
        <v>ATQ</v>
      </c>
      <c r="AD16" s="5">
        <v>1</v>
      </c>
      <c r="AE16" s="5" cm="1">
        <f t="array" ref="AE16">INDEX($B$29:$Y$44, INT((ROW(A7)-1)/24) + 1, MOD(ROW(A7)-1, 24) + 1)</f>
        <v>1.3717421124828533E-4</v>
      </c>
      <c r="AF16" s="5" cm="1">
        <f t="array" ref="AF16">INDEX($B$48:$Y$63, INT((ROW(A7)-1)/24) + 1, MOD(ROW(A7)-1, 24) + 1)</f>
        <v>137755</v>
      </c>
    </row>
    <row r="17" spans="1:32" x14ac:dyDescent="0.2">
      <c r="A17" s="4" t="s">
        <v>31</v>
      </c>
      <c r="B17" s="6" t="s">
        <v>23</v>
      </c>
      <c r="C17" s="6" t="s">
        <v>23</v>
      </c>
      <c r="D17" s="6" t="s">
        <v>23</v>
      </c>
      <c r="E17" s="6" t="s">
        <v>23</v>
      </c>
      <c r="F17" s="6" t="s">
        <v>23</v>
      </c>
      <c r="G17" s="6" t="s">
        <v>23</v>
      </c>
      <c r="H17" s="6" t="s">
        <v>23</v>
      </c>
      <c r="I17" s="6" t="s">
        <v>23</v>
      </c>
      <c r="J17" s="6" t="s">
        <v>23</v>
      </c>
      <c r="K17" s="6" t="s">
        <v>23</v>
      </c>
      <c r="L17" s="6" t="s">
        <v>23</v>
      </c>
      <c r="M17" s="6"/>
      <c r="N17" s="6" t="s">
        <v>29</v>
      </c>
      <c r="O17" s="6" t="s">
        <v>29</v>
      </c>
      <c r="P17" s="6" t="s">
        <v>29</v>
      </c>
      <c r="Q17" s="6" t="s">
        <v>29</v>
      </c>
      <c r="R17" s="6" t="s">
        <v>29</v>
      </c>
      <c r="S17" s="6" t="s">
        <v>29</v>
      </c>
      <c r="T17" s="6" t="s">
        <v>29</v>
      </c>
      <c r="U17" s="6" t="s">
        <v>29</v>
      </c>
      <c r="V17" s="6" t="s">
        <v>29</v>
      </c>
      <c r="W17" s="6" t="s">
        <v>29</v>
      </c>
      <c r="X17" s="6" t="s">
        <v>29</v>
      </c>
      <c r="Y17" s="6"/>
      <c r="AA17" s="5" t="s">
        <v>12</v>
      </c>
      <c r="AB17" s="5" t="s">
        <v>32</v>
      </c>
      <c r="AC17" s="7" t="str" cm="1">
        <f t="array" ref="AC17">INDEX($B$10:$Y$25, INT((ROW(A8)-1)/24) + 1, MOD(ROW(A8)-1, 24) + 1)</f>
        <v>ATQ</v>
      </c>
      <c r="AD17" s="5">
        <v>1</v>
      </c>
      <c r="AE17" s="5" cm="1">
        <f t="array" ref="AE17">INDEX($B$29:$Y$44, INT((ROW(A8)-1)/24) + 1, MOD(ROW(A8)-1, 24) + 1)</f>
        <v>4.5724737082761774E-5</v>
      </c>
      <c r="AF17" s="5" cm="1">
        <f t="array" ref="AF17">INDEX($B$48:$Y$63, INT((ROW(A8)-1)/24) + 1, MOD(ROW(A8)-1, 24) + 1)</f>
        <v>137165</v>
      </c>
    </row>
    <row r="18" spans="1:32" x14ac:dyDescent="0.2">
      <c r="A18" s="4" t="s">
        <v>33</v>
      </c>
      <c r="B18" s="6" t="s">
        <v>34</v>
      </c>
      <c r="C18" s="6" t="s">
        <v>34</v>
      </c>
      <c r="D18" s="6" t="s">
        <v>34</v>
      </c>
      <c r="E18" s="6" t="s">
        <v>34</v>
      </c>
      <c r="F18" s="6" t="s">
        <v>34</v>
      </c>
      <c r="G18" s="6" t="s">
        <v>34</v>
      </c>
      <c r="H18" s="6" t="s">
        <v>34</v>
      </c>
      <c r="I18" s="6" t="s">
        <v>34</v>
      </c>
      <c r="J18" s="6" t="s">
        <v>34</v>
      </c>
      <c r="K18" s="6" t="s">
        <v>34</v>
      </c>
      <c r="L18" s="6" t="s">
        <v>34</v>
      </c>
      <c r="M18" s="6"/>
      <c r="N18" s="6" t="s">
        <v>35</v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35</v>
      </c>
      <c r="T18" s="6" t="s">
        <v>35</v>
      </c>
      <c r="U18" s="6" t="s">
        <v>35</v>
      </c>
      <c r="V18" s="6" t="s">
        <v>35</v>
      </c>
      <c r="W18" s="6" t="s">
        <v>35</v>
      </c>
      <c r="X18" s="6" t="s">
        <v>35</v>
      </c>
      <c r="Y18" s="6"/>
      <c r="AA18" s="5" t="s">
        <v>12</v>
      </c>
      <c r="AB18" s="5" t="s">
        <v>36</v>
      </c>
      <c r="AC18" s="7" t="str" cm="1">
        <f t="array" ref="AC18">INDEX($B$10:$Y$25, INT((ROW(A9)-1)/24) + 1, MOD(ROW(A9)-1, 24) + 1)</f>
        <v>ATQ</v>
      </c>
      <c r="AD18" s="5">
        <v>1</v>
      </c>
      <c r="AE18" s="5" cm="1">
        <f t="array" ref="AE18">INDEX($B$29:$Y$44, INT((ROW(A9)-1)/24) + 1, MOD(ROW(A9)-1, 24) + 1)</f>
        <v>1.5241579027587257E-5</v>
      </c>
      <c r="AF18" s="5" cm="1">
        <f t="array" ref="AF18">INDEX($B$48:$Y$63, INT((ROW(A9)-1)/24) + 1, MOD(ROW(A9)-1, 24) + 1)</f>
        <v>145550</v>
      </c>
    </row>
    <row r="19" spans="1:32" x14ac:dyDescent="0.2">
      <c r="A19" s="4" t="s">
        <v>37</v>
      </c>
      <c r="B19" s="6" t="s">
        <v>34</v>
      </c>
      <c r="C19" s="6" t="s">
        <v>34</v>
      </c>
      <c r="D19" s="6" t="s">
        <v>34</v>
      </c>
      <c r="E19" s="6" t="s">
        <v>34</v>
      </c>
      <c r="F19" s="6" t="s">
        <v>34</v>
      </c>
      <c r="G19" s="6" t="s">
        <v>34</v>
      </c>
      <c r="H19" s="6" t="s">
        <v>34</v>
      </c>
      <c r="I19" s="6" t="s">
        <v>34</v>
      </c>
      <c r="J19" s="6" t="s">
        <v>34</v>
      </c>
      <c r="K19" s="6" t="s">
        <v>34</v>
      </c>
      <c r="L19" s="6" t="s">
        <v>34</v>
      </c>
      <c r="M19" s="6"/>
      <c r="N19" s="6" t="s">
        <v>35</v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35</v>
      </c>
      <c r="T19" s="6" t="s">
        <v>35</v>
      </c>
      <c r="U19" s="6" t="s">
        <v>35</v>
      </c>
      <c r="V19" s="6" t="s">
        <v>35</v>
      </c>
      <c r="W19" s="6" t="s">
        <v>35</v>
      </c>
      <c r="X19" s="6" t="s">
        <v>35</v>
      </c>
      <c r="Y19" s="6"/>
      <c r="AA19" s="5" t="s">
        <v>12</v>
      </c>
      <c r="AB19" s="5" t="s">
        <v>38</v>
      </c>
      <c r="AC19" s="7" t="str" cm="1">
        <f t="array" ref="AC19">INDEX($B$10:$Y$25, INT((ROW(A10)-1)/24) + 1, MOD(ROW(A10)-1, 24) + 1)</f>
        <v>ATQ</v>
      </c>
      <c r="AD19" s="5">
        <v>1</v>
      </c>
      <c r="AE19" s="5" cm="1">
        <f t="array" ref="AE19">INDEX($B$29:$Y$44, INT((ROW(A10)-1)/24) + 1, MOD(ROW(A10)-1, 24) + 1)</f>
        <v>5.0805263425290855E-6</v>
      </c>
      <c r="AF19" s="5" cm="1">
        <f t="array" ref="AF19">INDEX($B$48:$Y$63, INT((ROW(A10)-1)/24) + 1, MOD(ROW(A10)-1, 24) + 1)</f>
        <v>135055</v>
      </c>
    </row>
    <row r="20" spans="1:32" x14ac:dyDescent="0.2">
      <c r="A20" s="4" t="s">
        <v>39</v>
      </c>
      <c r="B20" s="6" t="s">
        <v>40</v>
      </c>
      <c r="C20" s="6" t="s">
        <v>40</v>
      </c>
      <c r="D20" s="6" t="s">
        <v>40</v>
      </c>
      <c r="E20" s="6" t="s">
        <v>40</v>
      </c>
      <c r="F20" s="6" t="s">
        <v>40</v>
      </c>
      <c r="G20" s="6" t="s">
        <v>40</v>
      </c>
      <c r="H20" s="6" t="s">
        <v>40</v>
      </c>
      <c r="I20" s="6" t="s">
        <v>40</v>
      </c>
      <c r="J20" s="6" t="s">
        <v>40</v>
      </c>
      <c r="K20" s="6" t="s">
        <v>40</v>
      </c>
      <c r="L20" s="6" t="s">
        <v>40</v>
      </c>
      <c r="M20" s="6"/>
      <c r="N20" s="6" t="s">
        <v>41</v>
      </c>
      <c r="O20" s="6" t="s">
        <v>41</v>
      </c>
      <c r="P20" s="6" t="s">
        <v>41</v>
      </c>
      <c r="Q20" s="6" t="s">
        <v>41</v>
      </c>
      <c r="R20" s="6" t="s">
        <v>41</v>
      </c>
      <c r="S20" s="6" t="s">
        <v>41</v>
      </c>
      <c r="T20" s="6" t="s">
        <v>41</v>
      </c>
      <c r="U20" s="6" t="s">
        <v>41</v>
      </c>
      <c r="V20" s="6" t="s">
        <v>41</v>
      </c>
      <c r="W20" s="6" t="s">
        <v>41</v>
      </c>
      <c r="X20" s="6" t="s">
        <v>41</v>
      </c>
      <c r="Y20" s="6"/>
      <c r="AA20" s="5" t="s">
        <v>12</v>
      </c>
      <c r="AB20" s="5" t="s">
        <v>42</v>
      </c>
      <c r="AC20" s="7" t="str" cm="1">
        <f t="array" ref="AC20">INDEX($B$10:$Y$25, INT((ROW(A11)-1)/24) + 1, MOD(ROW(A11)-1, 24) + 1)</f>
        <v>ATQ</v>
      </c>
      <c r="AD20" s="5">
        <v>1</v>
      </c>
      <c r="AE20" s="5" cm="1">
        <f t="array" ref="AE20">INDEX($B$29:$Y$44, INT((ROW(A11)-1)/24) + 1, MOD(ROW(A11)-1, 24) + 1)</f>
        <v>1.6935087808430284E-6</v>
      </c>
      <c r="AF20" s="5" cm="1">
        <f t="array" ref="AF20">INDEX($B$48:$Y$63, INT((ROW(A11)-1)/24) + 1, MOD(ROW(A11)-1, 24) + 1)</f>
        <v>144730</v>
      </c>
    </row>
    <row r="21" spans="1:32" x14ac:dyDescent="0.2">
      <c r="A21" s="4" t="s">
        <v>43</v>
      </c>
      <c r="B21" s="6" t="s">
        <v>40</v>
      </c>
      <c r="C21" s="6" t="s">
        <v>40</v>
      </c>
      <c r="D21" s="6" t="s">
        <v>40</v>
      </c>
      <c r="E21" s="6" t="s">
        <v>40</v>
      </c>
      <c r="F21" s="6" t="s">
        <v>40</v>
      </c>
      <c r="G21" s="6" t="s">
        <v>40</v>
      </c>
      <c r="H21" s="6" t="s">
        <v>40</v>
      </c>
      <c r="I21" s="6" t="s">
        <v>40</v>
      </c>
      <c r="J21" s="6" t="s">
        <v>40</v>
      </c>
      <c r="K21" s="6" t="s">
        <v>40</v>
      </c>
      <c r="L21" s="6" t="s">
        <v>40</v>
      </c>
      <c r="M21" s="6"/>
      <c r="N21" s="6" t="s">
        <v>41</v>
      </c>
      <c r="O21" s="6" t="s">
        <v>41</v>
      </c>
      <c r="P21" s="6" t="s">
        <v>41</v>
      </c>
      <c r="Q21" s="6" t="s">
        <v>41</v>
      </c>
      <c r="R21" s="6" t="s">
        <v>41</v>
      </c>
      <c r="S21" s="6" t="s">
        <v>41</v>
      </c>
      <c r="T21" s="6" t="s">
        <v>41</v>
      </c>
      <c r="U21" s="6" t="s">
        <v>41</v>
      </c>
      <c r="V21" s="6" t="s">
        <v>41</v>
      </c>
      <c r="W21" s="6" t="s">
        <v>41</v>
      </c>
      <c r="X21" s="6" t="s">
        <v>41</v>
      </c>
      <c r="Y21" s="6"/>
      <c r="AA21" s="5" t="s">
        <v>12</v>
      </c>
      <c r="AB21" s="5" t="s">
        <v>44</v>
      </c>
      <c r="AC21" s="7"/>
      <c r="AD21" s="5"/>
      <c r="AE21" s="5" cm="1">
        <f t="array" ref="AE21">INDEX($B$29:$Y$44, INT((ROW(A12)-1)/24) + 1, MOD(ROW(A12)-1, 24) + 1)</f>
        <v>0</v>
      </c>
      <c r="AF21" s="5" cm="1">
        <f t="array" ref="AF21">INDEX($B$48:$Y$63, INT((ROW(A12)-1)/24) + 1, MOD(ROW(A12)-1, 24) + 1)</f>
        <v>1370</v>
      </c>
    </row>
    <row r="22" spans="1:32" x14ac:dyDescent="0.2">
      <c r="A22" s="4" t="s">
        <v>45</v>
      </c>
      <c r="B22" s="6" t="s">
        <v>21</v>
      </c>
      <c r="C22" s="6" t="s">
        <v>21</v>
      </c>
      <c r="D22" s="6" t="s">
        <v>21</v>
      </c>
      <c r="E22" s="6" t="s">
        <v>21</v>
      </c>
      <c r="F22" s="6" t="s">
        <v>21</v>
      </c>
      <c r="G22" s="6" t="s">
        <v>21</v>
      </c>
      <c r="H22" s="6" t="s">
        <v>21</v>
      </c>
      <c r="I22" s="6" t="s">
        <v>21</v>
      </c>
      <c r="J22" s="6" t="s">
        <v>21</v>
      </c>
      <c r="K22" s="6" t="s">
        <v>21</v>
      </c>
      <c r="L22" s="6" t="s">
        <v>21</v>
      </c>
      <c r="M22" s="8"/>
      <c r="N22" s="6" t="s">
        <v>46</v>
      </c>
      <c r="O22" s="6" t="s">
        <v>46</v>
      </c>
      <c r="P22" s="6" t="s">
        <v>46</v>
      </c>
      <c r="Q22" s="6" t="s">
        <v>46</v>
      </c>
      <c r="R22" s="6" t="s">
        <v>46</v>
      </c>
      <c r="S22" s="6" t="s">
        <v>46</v>
      </c>
      <c r="T22" s="6" t="s">
        <v>46</v>
      </c>
      <c r="U22" s="6" t="s">
        <v>46</v>
      </c>
      <c r="V22" s="6" t="s">
        <v>46</v>
      </c>
      <c r="W22" s="6" t="s">
        <v>46</v>
      </c>
      <c r="X22" s="6" t="s">
        <v>46</v>
      </c>
      <c r="Y22" s="6"/>
      <c r="AA22" s="5" t="s">
        <v>12</v>
      </c>
      <c r="AB22" s="5" t="s">
        <v>47</v>
      </c>
      <c r="AC22" s="7" t="str" cm="1">
        <f t="array" ref="AC22">INDEX($B$10:$Y$25, INT((ROW(A13)-1)/24) + 1, MOD(ROW(A13)-1, 24) + 1)</f>
        <v>B1</v>
      </c>
      <c r="AD22" s="5">
        <v>1</v>
      </c>
      <c r="AE22" s="5" cm="1">
        <f t="array" ref="AE22">INDEX($B$29:$Y$44, INT((ROW(A13)-1)/24) + 1, MOD(ROW(A13)-1, 24) + 1)</f>
        <v>0.74</v>
      </c>
      <c r="AF22" s="5" cm="1">
        <f t="array" ref="AF22">INDEX($B$48:$Y$63, INT((ROW(A13)-1)/24) + 1, MOD(ROW(A13)-1, 24) + 1)</f>
        <v>58400</v>
      </c>
    </row>
    <row r="23" spans="1:32" x14ac:dyDescent="0.2">
      <c r="A23" s="4" t="s">
        <v>48</v>
      </c>
      <c r="B23" s="6" t="s">
        <v>21</v>
      </c>
      <c r="C23" s="6" t="s">
        <v>21</v>
      </c>
      <c r="D23" s="6" t="s">
        <v>21</v>
      </c>
      <c r="E23" s="6" t="s">
        <v>21</v>
      </c>
      <c r="F23" s="6" t="s">
        <v>21</v>
      </c>
      <c r="G23" s="6" t="s">
        <v>21</v>
      </c>
      <c r="H23" s="6" t="s">
        <v>21</v>
      </c>
      <c r="I23" s="6" t="s">
        <v>21</v>
      </c>
      <c r="J23" s="6" t="s">
        <v>21</v>
      </c>
      <c r="K23" s="6" t="s">
        <v>21</v>
      </c>
      <c r="L23" s="6" t="s">
        <v>21</v>
      </c>
      <c r="M23" s="8"/>
      <c r="N23" s="6" t="s">
        <v>46</v>
      </c>
      <c r="O23" s="6" t="s">
        <v>46</v>
      </c>
      <c r="P23" s="6" t="s">
        <v>46</v>
      </c>
      <c r="Q23" s="6" t="s">
        <v>46</v>
      </c>
      <c r="R23" s="6" t="s">
        <v>46</v>
      </c>
      <c r="S23" s="6" t="s">
        <v>46</v>
      </c>
      <c r="T23" s="6" t="s">
        <v>46</v>
      </c>
      <c r="U23" s="6" t="s">
        <v>46</v>
      </c>
      <c r="V23" s="6" t="s">
        <v>46</v>
      </c>
      <c r="W23" s="6" t="s">
        <v>46</v>
      </c>
      <c r="X23" s="6" t="s">
        <v>46</v>
      </c>
      <c r="Y23" s="6"/>
      <c r="AA23" s="5" t="s">
        <v>12</v>
      </c>
      <c r="AB23" s="5" t="s">
        <v>49</v>
      </c>
      <c r="AC23" s="7" t="str" cm="1">
        <f t="array" ref="AC23">INDEX($B$10:$Y$25, INT((ROW(A14)-1)/24) + 1, MOD(ROW(A14)-1, 24) + 1)</f>
        <v>B1</v>
      </c>
      <c r="AD23" s="5">
        <v>1</v>
      </c>
      <c r="AE23" s="5" cm="1">
        <f t="array" ref="AE23">INDEX($B$29:$Y$44, INT((ROW(A14)-1)/24) + 1, MOD(ROW(A14)-1, 24) + 1)</f>
        <v>0.24666666666666667</v>
      </c>
      <c r="AF23" s="5" cm="1">
        <f t="array" ref="AF23">INDEX($B$48:$Y$63, INT((ROW(A14)-1)/24) + 1, MOD(ROW(A14)-1, 24) + 1)</f>
        <v>120120</v>
      </c>
    </row>
    <row r="24" spans="1:32" x14ac:dyDescent="0.2">
      <c r="A24" s="4" t="s">
        <v>50</v>
      </c>
      <c r="B24" s="6" t="s">
        <v>32</v>
      </c>
      <c r="C24" s="6" t="s">
        <v>32</v>
      </c>
      <c r="D24" s="6" t="s">
        <v>32</v>
      </c>
      <c r="E24" s="6" t="s">
        <v>32</v>
      </c>
      <c r="F24" s="6" t="s">
        <v>32</v>
      </c>
      <c r="G24" s="6" t="s">
        <v>32</v>
      </c>
      <c r="H24" s="6" t="s">
        <v>32</v>
      </c>
      <c r="I24" s="6" t="s">
        <v>32</v>
      </c>
      <c r="J24" s="6" t="s">
        <v>32</v>
      </c>
      <c r="K24" s="6" t="s">
        <v>32</v>
      </c>
      <c r="L24" s="6" t="s">
        <v>32</v>
      </c>
      <c r="M24" s="6"/>
      <c r="N24" s="6" t="s">
        <v>51</v>
      </c>
      <c r="O24" s="6" t="s">
        <v>51</v>
      </c>
      <c r="P24" s="6" t="s">
        <v>51</v>
      </c>
      <c r="Q24" s="6" t="s">
        <v>51</v>
      </c>
      <c r="R24" s="6" t="s">
        <v>51</v>
      </c>
      <c r="S24" s="6" t="s">
        <v>51</v>
      </c>
      <c r="T24" s="6" t="s">
        <v>51</v>
      </c>
      <c r="U24" s="6" t="s">
        <v>51</v>
      </c>
      <c r="V24" s="6" t="s">
        <v>51</v>
      </c>
      <c r="W24" s="6" t="s">
        <v>51</v>
      </c>
      <c r="X24" s="6" t="s">
        <v>51</v>
      </c>
      <c r="Y24" s="6"/>
      <c r="AA24" s="5" t="s">
        <v>12</v>
      </c>
      <c r="AB24" s="5" t="s">
        <v>52</v>
      </c>
      <c r="AC24" s="7" t="str" cm="1">
        <f t="array" ref="AC24">INDEX($B$10:$Y$25, INT((ROW(A15)-1)/24) + 1, MOD(ROW(A15)-1, 24) + 1)</f>
        <v>B1</v>
      </c>
      <c r="AD24" s="5">
        <v>1</v>
      </c>
      <c r="AE24" s="5" cm="1">
        <f t="array" ref="AE24">INDEX($B$29:$Y$44, INT((ROW(A15)-1)/24) + 1, MOD(ROW(A15)-1, 24) + 1)</f>
        <v>8.2222222222222224E-2</v>
      </c>
      <c r="AF24" s="5" cm="1">
        <f t="array" ref="AF24">INDEX($B$48:$Y$63, INT((ROW(A15)-1)/24) + 1, MOD(ROW(A15)-1, 24) + 1)</f>
        <v>118680</v>
      </c>
    </row>
    <row r="25" spans="1:32" x14ac:dyDescent="0.2">
      <c r="A25" s="4" t="s">
        <v>53</v>
      </c>
      <c r="B25" s="6" t="s">
        <v>32</v>
      </c>
      <c r="C25" s="6" t="s">
        <v>32</v>
      </c>
      <c r="D25" s="6" t="s">
        <v>32</v>
      </c>
      <c r="E25" s="6" t="s">
        <v>32</v>
      </c>
      <c r="F25" s="6" t="s">
        <v>32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/>
      <c r="N25" s="6" t="s">
        <v>51</v>
      </c>
      <c r="O25" s="6" t="s">
        <v>51</v>
      </c>
      <c r="P25" s="6" t="s">
        <v>51</v>
      </c>
      <c r="Q25" s="6" t="s">
        <v>51</v>
      </c>
      <c r="R25" s="6" t="s">
        <v>51</v>
      </c>
      <c r="S25" s="6" t="s">
        <v>51</v>
      </c>
      <c r="T25" s="6" t="s">
        <v>51</v>
      </c>
      <c r="U25" s="6" t="s">
        <v>51</v>
      </c>
      <c r="V25" s="6" t="s">
        <v>51</v>
      </c>
      <c r="W25" s="6" t="s">
        <v>51</v>
      </c>
      <c r="X25" s="6" t="s">
        <v>51</v>
      </c>
      <c r="Y25" s="6"/>
      <c r="AA25" s="5" t="s">
        <v>12</v>
      </c>
      <c r="AB25" s="5" t="s">
        <v>54</v>
      </c>
      <c r="AC25" s="7" t="str" cm="1">
        <f t="array" ref="AC25">INDEX($B$10:$Y$25, INT((ROW(A16)-1)/24) + 1, MOD(ROW(A16)-1, 24) + 1)</f>
        <v>B1</v>
      </c>
      <c r="AD25" s="5">
        <v>1</v>
      </c>
      <c r="AE25" s="5" cm="1">
        <f t="array" ref="AE25">INDEX($B$29:$Y$44, INT((ROW(A16)-1)/24) + 1, MOD(ROW(A16)-1, 24) + 1)</f>
        <v>2.7407407407407408E-2</v>
      </c>
      <c r="AF25" s="5" cm="1">
        <f t="array" ref="AF25">INDEX($B$48:$Y$63, INT((ROW(A16)-1)/24) + 1, MOD(ROW(A16)-1, 24) + 1)</f>
        <v>134435</v>
      </c>
    </row>
    <row r="26" spans="1:32" x14ac:dyDescent="0.2">
      <c r="AA26" s="5" t="s">
        <v>12</v>
      </c>
      <c r="AB26" s="5" t="s">
        <v>55</v>
      </c>
      <c r="AC26" s="7" t="str" cm="1">
        <f t="array" ref="AC26">INDEX($B$10:$Y$25, INT((ROW(A17)-1)/24) + 1, MOD(ROW(A17)-1, 24) + 1)</f>
        <v>B1</v>
      </c>
      <c r="AD26" s="5">
        <v>1</v>
      </c>
      <c r="AE26" s="5" cm="1">
        <f t="array" ref="AE26">INDEX($B$29:$Y$44, INT((ROW(A17)-1)/24) + 1, MOD(ROW(A17)-1, 24) + 1)</f>
        <v>9.1358024691358033E-3</v>
      </c>
      <c r="AF26" s="5" cm="1">
        <f t="array" ref="AF26">INDEX($B$48:$Y$63, INT((ROW(A17)-1)/24) + 1, MOD(ROW(A17)-1, 24) + 1)</f>
        <v>133090</v>
      </c>
    </row>
    <row r="27" spans="1:32" x14ac:dyDescent="0.2">
      <c r="AA27" s="5" t="s">
        <v>12</v>
      </c>
      <c r="AB27" s="5" t="s">
        <v>56</v>
      </c>
      <c r="AC27" s="7" t="str" cm="1">
        <f t="array" ref="AC27">INDEX($B$10:$Y$25, INT((ROW(A18)-1)/24) + 1, MOD(ROW(A18)-1, 24) + 1)</f>
        <v>B1</v>
      </c>
      <c r="AD27" s="5">
        <v>1</v>
      </c>
      <c r="AE27" s="5" cm="1">
        <f t="array" ref="AE27">INDEX($B$29:$Y$44, INT((ROW(A18)-1)/24) + 1, MOD(ROW(A18)-1, 24) + 1)</f>
        <v>3.0452674897119346E-3</v>
      </c>
      <c r="AF27" s="5" cm="1">
        <f t="array" ref="AF27">INDEX($B$48:$Y$63, INT((ROW(A18)-1)/24) + 1, MOD(ROW(A18)-1, 24) + 1)</f>
        <v>133995</v>
      </c>
    </row>
    <row r="28" spans="1:32" x14ac:dyDescent="0.2">
      <c r="A28" s="3" t="s">
        <v>57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H28" s="4">
        <v>7</v>
      </c>
      <c r="I28" s="4">
        <v>8</v>
      </c>
      <c r="J28" s="4">
        <v>9</v>
      </c>
      <c r="K28" s="4">
        <v>10</v>
      </c>
      <c r="L28" s="4">
        <v>11</v>
      </c>
      <c r="M28" s="4">
        <v>12</v>
      </c>
      <c r="N28" s="4">
        <v>13</v>
      </c>
      <c r="O28" s="4">
        <v>14</v>
      </c>
      <c r="P28" s="4">
        <v>15</v>
      </c>
      <c r="Q28" s="4">
        <v>16</v>
      </c>
      <c r="R28" s="4">
        <v>17</v>
      </c>
      <c r="S28" s="4">
        <v>18</v>
      </c>
      <c r="T28" s="4">
        <v>19</v>
      </c>
      <c r="U28" s="4">
        <v>20</v>
      </c>
      <c r="V28" s="4">
        <v>21</v>
      </c>
      <c r="W28" s="4">
        <v>22</v>
      </c>
      <c r="X28" s="4">
        <v>23</v>
      </c>
      <c r="Y28" s="4">
        <v>24</v>
      </c>
      <c r="AA28" s="5" t="s">
        <v>12</v>
      </c>
      <c r="AB28" s="5" t="s">
        <v>58</v>
      </c>
      <c r="AC28" s="7" t="str" cm="1">
        <f t="array" ref="AC28">INDEX($B$10:$Y$25, INT((ROW(A19)-1)/24) + 1, MOD(ROW(A19)-1, 24) + 1)</f>
        <v>B1</v>
      </c>
      <c r="AD28" s="5">
        <v>1</v>
      </c>
      <c r="AE28" s="5" cm="1">
        <f t="array" ref="AE28">INDEX($B$29:$Y$44, INT((ROW(A19)-1)/24) + 1, MOD(ROW(A19)-1, 24) + 1)</f>
        <v>1.0150891632373115E-3</v>
      </c>
      <c r="AF28" s="5" cm="1">
        <f t="array" ref="AF28">INDEX($B$48:$Y$63, INT((ROW(A19)-1)/24) + 1, MOD(ROW(A19)-1, 24) + 1)</f>
        <v>139460</v>
      </c>
    </row>
    <row r="29" spans="1:32" x14ac:dyDescent="0.2">
      <c r="A29" s="4" t="s">
        <v>9</v>
      </c>
      <c r="B29" s="6">
        <v>0.1</v>
      </c>
      <c r="C29" s="6">
        <f t="shared" ref="C29:L37" si="0">B29/3</f>
        <v>3.3333333333333333E-2</v>
      </c>
      <c r="D29" s="6">
        <f t="shared" si="0"/>
        <v>1.1111111111111112E-2</v>
      </c>
      <c r="E29" s="6">
        <f t="shared" si="0"/>
        <v>3.7037037037037038E-3</v>
      </c>
      <c r="F29" s="6">
        <f t="shared" si="0"/>
        <v>1.2345679012345679E-3</v>
      </c>
      <c r="G29" s="6">
        <f t="shared" si="0"/>
        <v>4.1152263374485596E-4</v>
      </c>
      <c r="H29" s="6">
        <f t="shared" si="0"/>
        <v>1.3717421124828533E-4</v>
      </c>
      <c r="I29" s="6">
        <f t="shared" si="0"/>
        <v>4.5724737082761774E-5</v>
      </c>
      <c r="J29" s="6">
        <f t="shared" si="0"/>
        <v>1.5241579027587257E-5</v>
      </c>
      <c r="K29" s="6">
        <f t="shared" si="0"/>
        <v>5.0805263425290855E-6</v>
      </c>
      <c r="L29" s="6">
        <f t="shared" si="0"/>
        <v>1.6935087808430284E-6</v>
      </c>
      <c r="M29" s="9"/>
      <c r="N29" s="9">
        <f>3.7/5</f>
        <v>0.74</v>
      </c>
      <c r="O29" s="9">
        <f t="shared" ref="O29:O39" si="1">N29/3</f>
        <v>0.24666666666666667</v>
      </c>
      <c r="P29" s="9">
        <f t="shared" ref="P29:X30" si="2">O29/3</f>
        <v>8.2222222222222224E-2</v>
      </c>
      <c r="Q29" s="9">
        <f t="shared" si="2"/>
        <v>2.7407407407407408E-2</v>
      </c>
      <c r="R29" s="9">
        <f t="shared" si="2"/>
        <v>9.1358024691358033E-3</v>
      </c>
      <c r="S29" s="9">
        <f t="shared" si="2"/>
        <v>3.0452674897119346E-3</v>
      </c>
      <c r="T29" s="9">
        <f t="shared" si="2"/>
        <v>1.0150891632373115E-3</v>
      </c>
      <c r="U29" s="9">
        <f t="shared" si="2"/>
        <v>3.3836305441243717E-4</v>
      </c>
      <c r="V29" s="9">
        <f t="shared" si="2"/>
        <v>1.1278768480414572E-4</v>
      </c>
      <c r="W29" s="9">
        <f t="shared" si="2"/>
        <v>3.7595894934715244E-5</v>
      </c>
      <c r="X29" s="9">
        <f t="shared" si="2"/>
        <v>1.2531964978238415E-5</v>
      </c>
      <c r="Y29" s="9"/>
      <c r="AA29" s="5" t="s">
        <v>12</v>
      </c>
      <c r="AB29" s="5" t="s">
        <v>59</v>
      </c>
      <c r="AC29" s="7" t="str" cm="1">
        <f t="array" ref="AC29">INDEX($B$10:$Y$25, INT((ROW(A20)-1)/24) + 1, MOD(ROW(A20)-1, 24) + 1)</f>
        <v>B1</v>
      </c>
      <c r="AD29" s="5">
        <v>1</v>
      </c>
      <c r="AE29" s="5" cm="1">
        <f t="array" ref="AE29">INDEX($B$29:$Y$44, INT((ROW(A20)-1)/24) + 1, MOD(ROW(A20)-1, 24) + 1)</f>
        <v>3.3836305441243717E-4</v>
      </c>
      <c r="AF29" s="5" cm="1">
        <f t="array" ref="AF29">INDEX($B$48:$Y$63, INT((ROW(A20)-1)/24) + 1, MOD(ROW(A20)-1, 24) + 1)</f>
        <v>147410</v>
      </c>
    </row>
    <row r="30" spans="1:32" x14ac:dyDescent="0.2">
      <c r="A30" s="4" t="s">
        <v>14</v>
      </c>
      <c r="B30" s="6">
        <v>0.1</v>
      </c>
      <c r="C30" s="6">
        <f t="shared" si="0"/>
        <v>3.3333333333333333E-2</v>
      </c>
      <c r="D30" s="6">
        <f t="shared" si="0"/>
        <v>1.1111111111111112E-2</v>
      </c>
      <c r="E30" s="6">
        <f t="shared" si="0"/>
        <v>3.7037037037037038E-3</v>
      </c>
      <c r="F30" s="6">
        <f t="shared" si="0"/>
        <v>1.2345679012345679E-3</v>
      </c>
      <c r="G30" s="6">
        <f t="shared" si="0"/>
        <v>4.1152263374485596E-4</v>
      </c>
      <c r="H30" s="6">
        <f t="shared" si="0"/>
        <v>1.3717421124828533E-4</v>
      </c>
      <c r="I30" s="6">
        <f t="shared" si="0"/>
        <v>4.5724737082761774E-5</v>
      </c>
      <c r="J30" s="6">
        <f t="shared" si="0"/>
        <v>1.5241579027587257E-5</v>
      </c>
      <c r="K30" s="6">
        <f t="shared" si="0"/>
        <v>5.0805263425290855E-6</v>
      </c>
      <c r="L30" s="6">
        <f t="shared" si="0"/>
        <v>1.6935087808430284E-6</v>
      </c>
      <c r="M30" s="9"/>
      <c r="N30" s="9">
        <f>3.7/5</f>
        <v>0.74</v>
      </c>
      <c r="O30" s="9">
        <f t="shared" si="1"/>
        <v>0.24666666666666667</v>
      </c>
      <c r="P30" s="9">
        <f t="shared" si="2"/>
        <v>8.2222222222222224E-2</v>
      </c>
      <c r="Q30" s="9">
        <f t="shared" si="2"/>
        <v>2.7407407407407408E-2</v>
      </c>
      <c r="R30" s="9">
        <f t="shared" si="2"/>
        <v>9.1358024691358033E-3</v>
      </c>
      <c r="S30" s="9">
        <f t="shared" si="2"/>
        <v>3.0452674897119346E-3</v>
      </c>
      <c r="T30" s="9">
        <f t="shared" si="2"/>
        <v>1.0150891632373115E-3</v>
      </c>
      <c r="U30" s="9">
        <f t="shared" si="2"/>
        <v>3.3836305441243717E-4</v>
      </c>
      <c r="V30" s="9">
        <f t="shared" si="2"/>
        <v>1.1278768480414572E-4</v>
      </c>
      <c r="W30" s="9">
        <f t="shared" si="2"/>
        <v>3.7595894934715244E-5</v>
      </c>
      <c r="X30" s="9">
        <f t="shared" si="2"/>
        <v>1.2531964978238415E-5</v>
      </c>
      <c r="Y30" s="9"/>
      <c r="AA30" s="5" t="s">
        <v>12</v>
      </c>
      <c r="AB30" s="5" t="s">
        <v>60</v>
      </c>
      <c r="AC30" s="7" t="str" cm="1">
        <f t="array" ref="AC30">INDEX($B$10:$Y$25, INT((ROW(A21)-1)/24) + 1, MOD(ROW(A21)-1, 24) + 1)</f>
        <v>B1</v>
      </c>
      <c r="AD30" s="5">
        <v>1</v>
      </c>
      <c r="AE30" s="5" cm="1">
        <f t="array" ref="AE30">INDEX($B$29:$Y$44, INT((ROW(A21)-1)/24) + 1, MOD(ROW(A21)-1, 24) + 1)</f>
        <v>1.1278768480414572E-4</v>
      </c>
      <c r="AF30" s="5" cm="1">
        <f t="array" ref="AF30">INDEX($B$48:$Y$63, INT((ROW(A21)-1)/24) + 1, MOD(ROW(A21)-1, 24) + 1)</f>
        <v>124035</v>
      </c>
    </row>
    <row r="31" spans="1:32" x14ac:dyDescent="0.2">
      <c r="A31" s="4" t="s">
        <v>16</v>
      </c>
      <c r="B31" s="6">
        <v>2</v>
      </c>
      <c r="C31" s="6">
        <f t="shared" si="0"/>
        <v>0.66666666666666663</v>
      </c>
      <c r="D31" s="6">
        <f t="shared" si="0"/>
        <v>0.22222222222222221</v>
      </c>
      <c r="E31" s="6">
        <f t="shared" si="0"/>
        <v>7.407407407407407E-2</v>
      </c>
      <c r="F31" s="6">
        <f t="shared" si="0"/>
        <v>2.4691358024691357E-2</v>
      </c>
      <c r="G31" s="6">
        <f t="shared" si="0"/>
        <v>8.2304526748971183E-3</v>
      </c>
      <c r="H31" s="6">
        <f t="shared" si="0"/>
        <v>2.7434842249657062E-3</v>
      </c>
      <c r="I31" s="6">
        <f t="shared" si="0"/>
        <v>9.1449474165523545E-4</v>
      </c>
      <c r="J31" s="6">
        <f t="shared" si="0"/>
        <v>3.0483158055174517E-4</v>
      </c>
      <c r="K31" s="6">
        <f t="shared" si="0"/>
        <v>1.0161052685058173E-4</v>
      </c>
      <c r="L31" s="6">
        <f t="shared" si="0"/>
        <v>3.3870175616860578E-5</v>
      </c>
      <c r="M31" s="9"/>
      <c r="N31" s="9">
        <f>0.5/5</f>
        <v>0.1</v>
      </c>
      <c r="O31" s="9">
        <f t="shared" si="1"/>
        <v>3.3333333333333333E-2</v>
      </c>
      <c r="P31" s="9">
        <f t="shared" ref="P31:X32" si="3">O31/3</f>
        <v>1.1111111111111112E-2</v>
      </c>
      <c r="Q31" s="9">
        <f t="shared" si="3"/>
        <v>3.7037037037037038E-3</v>
      </c>
      <c r="R31" s="9">
        <f t="shared" si="3"/>
        <v>1.2345679012345679E-3</v>
      </c>
      <c r="S31" s="9">
        <f t="shared" si="3"/>
        <v>4.1152263374485596E-4</v>
      </c>
      <c r="T31" s="9">
        <f t="shared" si="3"/>
        <v>1.3717421124828533E-4</v>
      </c>
      <c r="U31" s="9">
        <f t="shared" si="3"/>
        <v>4.5724737082761774E-5</v>
      </c>
      <c r="V31" s="9">
        <f t="shared" si="3"/>
        <v>1.5241579027587257E-5</v>
      </c>
      <c r="W31" s="9">
        <f t="shared" si="3"/>
        <v>5.0805263425290855E-6</v>
      </c>
      <c r="X31" s="9">
        <f t="shared" si="3"/>
        <v>1.6935087808430284E-6</v>
      </c>
      <c r="Y31" s="9"/>
      <c r="AA31" s="5" t="s">
        <v>12</v>
      </c>
      <c r="AB31" s="5" t="s">
        <v>61</v>
      </c>
      <c r="AC31" s="7" t="str" cm="1">
        <f t="array" ref="AC31">INDEX($B$10:$Y$25, INT((ROW(A22)-1)/24) + 1, MOD(ROW(A22)-1, 24) + 1)</f>
        <v>B1</v>
      </c>
      <c r="AD31" s="5">
        <v>1</v>
      </c>
      <c r="AE31" s="5" cm="1">
        <f t="array" ref="AE31">INDEX($B$29:$Y$44, INT((ROW(A22)-1)/24) + 1, MOD(ROW(A22)-1, 24) + 1)</f>
        <v>3.7595894934715244E-5</v>
      </c>
      <c r="AF31" s="5" cm="1">
        <f t="array" ref="AF31">INDEX($B$48:$Y$63, INT((ROW(A22)-1)/24) + 1, MOD(ROW(A22)-1, 24) + 1)</f>
        <v>124535</v>
      </c>
    </row>
    <row r="32" spans="1:32" x14ac:dyDescent="0.2">
      <c r="A32" s="4" t="s">
        <v>20</v>
      </c>
      <c r="B32" s="6">
        <v>2</v>
      </c>
      <c r="C32" s="6">
        <f t="shared" si="0"/>
        <v>0.66666666666666663</v>
      </c>
      <c r="D32" s="6">
        <f t="shared" si="0"/>
        <v>0.22222222222222221</v>
      </c>
      <c r="E32" s="6">
        <f t="shared" si="0"/>
        <v>7.407407407407407E-2</v>
      </c>
      <c r="F32" s="6">
        <f t="shared" si="0"/>
        <v>2.4691358024691357E-2</v>
      </c>
      <c r="G32" s="6">
        <f t="shared" si="0"/>
        <v>8.2304526748971183E-3</v>
      </c>
      <c r="H32" s="6">
        <f t="shared" si="0"/>
        <v>2.7434842249657062E-3</v>
      </c>
      <c r="I32" s="6">
        <f t="shared" si="0"/>
        <v>9.1449474165523545E-4</v>
      </c>
      <c r="J32" s="6">
        <f t="shared" si="0"/>
        <v>3.0483158055174517E-4</v>
      </c>
      <c r="K32" s="6">
        <f t="shared" si="0"/>
        <v>1.0161052685058173E-4</v>
      </c>
      <c r="L32" s="6">
        <f t="shared" si="0"/>
        <v>3.3870175616860578E-5</v>
      </c>
      <c r="M32" s="9"/>
      <c r="N32" s="9">
        <f>0.5/5</f>
        <v>0.1</v>
      </c>
      <c r="O32" s="9">
        <f t="shared" si="1"/>
        <v>3.3333333333333333E-2</v>
      </c>
      <c r="P32" s="9">
        <f t="shared" si="3"/>
        <v>1.1111111111111112E-2</v>
      </c>
      <c r="Q32" s="9">
        <f t="shared" si="3"/>
        <v>3.7037037037037038E-3</v>
      </c>
      <c r="R32" s="9">
        <f t="shared" si="3"/>
        <v>1.2345679012345679E-3</v>
      </c>
      <c r="S32" s="9">
        <f t="shared" si="3"/>
        <v>4.1152263374485596E-4</v>
      </c>
      <c r="T32" s="9">
        <f t="shared" si="3"/>
        <v>1.3717421124828533E-4</v>
      </c>
      <c r="U32" s="9">
        <f t="shared" si="3"/>
        <v>4.5724737082761774E-5</v>
      </c>
      <c r="V32" s="9">
        <f t="shared" si="3"/>
        <v>1.5241579027587257E-5</v>
      </c>
      <c r="W32" s="9">
        <f t="shared" si="3"/>
        <v>5.0805263425290855E-6</v>
      </c>
      <c r="X32" s="9">
        <f t="shared" si="3"/>
        <v>1.6935087808430284E-6</v>
      </c>
      <c r="Y32" s="9"/>
      <c r="AA32" s="5" t="s">
        <v>12</v>
      </c>
      <c r="AB32" s="5" t="s">
        <v>62</v>
      </c>
      <c r="AC32" s="7" t="str" cm="1">
        <f t="array" ref="AC32">INDEX($B$10:$Y$25, INT((ROW(A23)-1)/24) + 1, MOD(ROW(A23)-1, 24) + 1)</f>
        <v>B1</v>
      </c>
      <c r="AD32" s="5">
        <v>1</v>
      </c>
      <c r="AE32" s="5" cm="1">
        <f t="array" ref="AE32">INDEX($B$29:$Y$44, INT((ROW(A23)-1)/24) + 1, MOD(ROW(A23)-1, 24) + 1)</f>
        <v>1.2531964978238415E-5</v>
      </c>
      <c r="AF32" s="5" cm="1">
        <f t="array" ref="AF32">INDEX($B$48:$Y$63, INT((ROW(A23)-1)/24) + 1, MOD(ROW(A23)-1, 24) + 1)</f>
        <v>117900</v>
      </c>
    </row>
    <row r="33" spans="1:32" x14ac:dyDescent="0.2">
      <c r="A33" s="4" t="s">
        <v>22</v>
      </c>
      <c r="B33" s="6">
        <v>0</v>
      </c>
      <c r="C33" s="6">
        <f t="shared" si="0"/>
        <v>0</v>
      </c>
      <c r="D33" s="6">
        <f t="shared" si="0"/>
        <v>0</v>
      </c>
      <c r="E33" s="6">
        <f t="shared" si="0"/>
        <v>0</v>
      </c>
      <c r="F33" s="6">
        <f t="shared" si="0"/>
        <v>0</v>
      </c>
      <c r="G33" s="6">
        <f t="shared" si="0"/>
        <v>0</v>
      </c>
      <c r="H33" s="6">
        <f t="shared" si="0"/>
        <v>0</v>
      </c>
      <c r="I33" s="6">
        <f t="shared" si="0"/>
        <v>0</v>
      </c>
      <c r="J33" s="6">
        <f t="shared" si="0"/>
        <v>0</v>
      </c>
      <c r="K33" s="6">
        <f t="shared" si="0"/>
        <v>0</v>
      </c>
      <c r="L33" s="6">
        <f t="shared" si="0"/>
        <v>0</v>
      </c>
      <c r="M33" s="9"/>
      <c r="N33" s="9">
        <f>1.5/5</f>
        <v>0.3</v>
      </c>
      <c r="O33" s="9">
        <f t="shared" si="1"/>
        <v>9.9999999999999992E-2</v>
      </c>
      <c r="P33" s="9">
        <f t="shared" ref="P33:X34" si="4">O33/3</f>
        <v>3.3333333333333333E-2</v>
      </c>
      <c r="Q33" s="9">
        <f t="shared" si="4"/>
        <v>1.1111111111111112E-2</v>
      </c>
      <c r="R33" s="9">
        <f t="shared" si="4"/>
        <v>3.7037037037037038E-3</v>
      </c>
      <c r="S33" s="9">
        <f t="shared" si="4"/>
        <v>1.2345679012345679E-3</v>
      </c>
      <c r="T33" s="9">
        <f t="shared" si="4"/>
        <v>4.1152263374485596E-4</v>
      </c>
      <c r="U33" s="9">
        <f t="shared" si="4"/>
        <v>1.3717421124828533E-4</v>
      </c>
      <c r="V33" s="9">
        <f t="shared" si="4"/>
        <v>4.5724737082761774E-5</v>
      </c>
      <c r="W33" s="9">
        <f t="shared" si="4"/>
        <v>1.5241579027587257E-5</v>
      </c>
      <c r="X33" s="9">
        <f t="shared" si="4"/>
        <v>5.0805263425290855E-6</v>
      </c>
      <c r="Y33" s="9"/>
      <c r="AA33" s="5" t="s">
        <v>12</v>
      </c>
      <c r="AB33" s="5" t="s">
        <v>63</v>
      </c>
      <c r="AC33" s="7"/>
      <c r="AD33" s="5"/>
      <c r="AE33" s="5" cm="1">
        <f t="array" ref="AE33">INDEX($B$29:$Y$44, INT((ROW(A24)-1)/24) + 1, MOD(ROW(A24)-1, 24) + 1)</f>
        <v>0</v>
      </c>
      <c r="AF33" s="5" cm="1">
        <f t="array" ref="AF33">INDEX($B$48:$Y$63, INT((ROW(A24)-1)/24) + 1, MOD(ROW(A24)-1, 24) + 1)</f>
        <v>510</v>
      </c>
    </row>
    <row r="34" spans="1:32" x14ac:dyDescent="0.2">
      <c r="A34" s="4" t="s">
        <v>26</v>
      </c>
      <c r="B34" s="6">
        <v>0</v>
      </c>
      <c r="C34" s="6">
        <f t="shared" si="0"/>
        <v>0</v>
      </c>
      <c r="D34" s="6">
        <f t="shared" si="0"/>
        <v>0</v>
      </c>
      <c r="E34" s="6">
        <f t="shared" si="0"/>
        <v>0</v>
      </c>
      <c r="F34" s="6">
        <f t="shared" si="0"/>
        <v>0</v>
      </c>
      <c r="G34" s="6">
        <f t="shared" si="0"/>
        <v>0</v>
      </c>
      <c r="H34" s="6">
        <f t="shared" si="0"/>
        <v>0</v>
      </c>
      <c r="I34" s="6">
        <f t="shared" si="0"/>
        <v>0</v>
      </c>
      <c r="J34" s="6">
        <f t="shared" si="0"/>
        <v>0</v>
      </c>
      <c r="K34" s="6">
        <f t="shared" si="0"/>
        <v>0</v>
      </c>
      <c r="L34" s="6">
        <f t="shared" si="0"/>
        <v>0</v>
      </c>
      <c r="M34" s="9"/>
      <c r="N34" s="9">
        <f>1.5/5</f>
        <v>0.3</v>
      </c>
      <c r="O34" s="9">
        <f t="shared" si="1"/>
        <v>9.9999999999999992E-2</v>
      </c>
      <c r="P34" s="9">
        <f t="shared" si="4"/>
        <v>3.3333333333333333E-2</v>
      </c>
      <c r="Q34" s="9">
        <f t="shared" si="4"/>
        <v>1.1111111111111112E-2</v>
      </c>
      <c r="R34" s="9">
        <f t="shared" si="4"/>
        <v>3.7037037037037038E-3</v>
      </c>
      <c r="S34" s="9">
        <f t="shared" si="4"/>
        <v>1.2345679012345679E-3</v>
      </c>
      <c r="T34" s="9">
        <f t="shared" si="4"/>
        <v>4.1152263374485596E-4</v>
      </c>
      <c r="U34" s="9">
        <f t="shared" si="4"/>
        <v>1.3717421124828533E-4</v>
      </c>
      <c r="V34" s="9">
        <f t="shared" si="4"/>
        <v>4.5724737082761774E-5</v>
      </c>
      <c r="W34" s="9">
        <f t="shared" si="4"/>
        <v>1.5241579027587257E-5</v>
      </c>
      <c r="X34" s="9">
        <f t="shared" si="4"/>
        <v>5.0805263425290855E-6</v>
      </c>
      <c r="Y34" s="9"/>
      <c r="AA34" s="5" t="s">
        <v>12</v>
      </c>
      <c r="AB34" s="5" t="s">
        <v>11</v>
      </c>
      <c r="AC34" s="7" t="str" cm="1">
        <f t="array" ref="AC34">INDEX($B$10:$Y$25, INT((ROW(A25)-1)/24) + 1, MOD(ROW(A25)-1, 24) + 1)</f>
        <v>ATQ</v>
      </c>
      <c r="AD34" s="5">
        <v>1</v>
      </c>
      <c r="AE34" s="5" cm="1">
        <f t="array" ref="AE34">INDEX($B$29:$Y$44, INT((ROW(A25)-1)/24) + 1, MOD(ROW(A25)-1, 24) + 1)</f>
        <v>0.1</v>
      </c>
      <c r="AF34" s="5" cm="1">
        <f t="array" ref="AF34">INDEX($B$48:$Y$63, INT((ROW(A25)-1)/24) + 1, MOD(ROW(A25)-1, 24) + 1)</f>
        <v>1805</v>
      </c>
    </row>
    <row r="35" spans="1:32" x14ac:dyDescent="0.2">
      <c r="A35" s="4" t="s">
        <v>28</v>
      </c>
      <c r="B35" s="6">
        <v>0</v>
      </c>
      <c r="C35" s="6">
        <f t="shared" si="0"/>
        <v>0</v>
      </c>
      <c r="D35" s="6">
        <f t="shared" si="0"/>
        <v>0</v>
      </c>
      <c r="E35" s="6">
        <f t="shared" si="0"/>
        <v>0</v>
      </c>
      <c r="F35" s="6">
        <f t="shared" si="0"/>
        <v>0</v>
      </c>
      <c r="G35" s="6">
        <f t="shared" si="0"/>
        <v>0</v>
      </c>
      <c r="H35" s="6">
        <f t="shared" si="0"/>
        <v>0</v>
      </c>
      <c r="I35" s="6">
        <f t="shared" si="0"/>
        <v>0</v>
      </c>
      <c r="J35" s="6">
        <f t="shared" si="0"/>
        <v>0</v>
      </c>
      <c r="K35" s="6">
        <f t="shared" si="0"/>
        <v>0</v>
      </c>
      <c r="L35" s="6">
        <f t="shared" si="0"/>
        <v>0</v>
      </c>
      <c r="M35" s="9"/>
      <c r="N35" s="9">
        <f>11/5</f>
        <v>2.2000000000000002</v>
      </c>
      <c r="O35" s="9">
        <f t="shared" si="1"/>
        <v>0.73333333333333339</v>
      </c>
      <c r="P35" s="9">
        <f t="shared" ref="P35:X36" si="5">O35/3</f>
        <v>0.24444444444444446</v>
      </c>
      <c r="Q35" s="9">
        <f t="shared" si="5"/>
        <v>8.1481481481481488E-2</v>
      </c>
      <c r="R35" s="9">
        <f t="shared" si="5"/>
        <v>2.7160493827160497E-2</v>
      </c>
      <c r="S35" s="9">
        <f t="shared" si="5"/>
        <v>9.0534979423868324E-3</v>
      </c>
      <c r="T35" s="9">
        <f t="shared" si="5"/>
        <v>3.0178326474622776E-3</v>
      </c>
      <c r="U35" s="9">
        <f t="shared" si="5"/>
        <v>1.0059442158207592E-3</v>
      </c>
      <c r="V35" s="9">
        <f t="shared" si="5"/>
        <v>3.3531473860691973E-4</v>
      </c>
      <c r="W35" s="9">
        <f t="shared" si="5"/>
        <v>1.1177157953563991E-4</v>
      </c>
      <c r="X35" s="9">
        <f t="shared" si="5"/>
        <v>3.7257193178546638E-5</v>
      </c>
      <c r="Y35" s="9"/>
      <c r="AA35" s="5" t="s">
        <v>12</v>
      </c>
      <c r="AB35" s="5" t="s">
        <v>64</v>
      </c>
      <c r="AC35" s="7" t="str" cm="1">
        <f t="array" ref="AC35">INDEX($B$10:$Y$25, INT((ROW(A26)-1)/24) + 1, MOD(ROW(A26)-1, 24) + 1)</f>
        <v>ATQ</v>
      </c>
      <c r="AD35" s="5">
        <v>1</v>
      </c>
      <c r="AE35" s="5" cm="1">
        <f t="array" ref="AE35">INDEX($B$29:$Y$44, INT((ROW(A26)-1)/24) + 1, MOD(ROW(A26)-1, 24) + 1)</f>
        <v>3.3333333333333333E-2</v>
      </c>
      <c r="AF35" s="5" cm="1">
        <f t="array" ref="AF35">INDEX($B$48:$Y$63, INT((ROW(A26)-1)/24) + 1, MOD(ROW(A26)-1, 24) + 1)</f>
        <v>2565</v>
      </c>
    </row>
    <row r="36" spans="1:32" x14ac:dyDescent="0.2">
      <c r="A36" s="4" t="s">
        <v>31</v>
      </c>
      <c r="B36" s="6">
        <v>0</v>
      </c>
      <c r="C36" s="6">
        <f t="shared" si="0"/>
        <v>0</v>
      </c>
      <c r="D36" s="6">
        <f t="shared" si="0"/>
        <v>0</v>
      </c>
      <c r="E36" s="6">
        <f t="shared" si="0"/>
        <v>0</v>
      </c>
      <c r="F36" s="6">
        <f t="shared" si="0"/>
        <v>0</v>
      </c>
      <c r="G36" s="6">
        <f t="shared" si="0"/>
        <v>0</v>
      </c>
      <c r="H36" s="6">
        <f t="shared" si="0"/>
        <v>0</v>
      </c>
      <c r="I36" s="6">
        <f t="shared" si="0"/>
        <v>0</v>
      </c>
      <c r="J36" s="6">
        <f t="shared" si="0"/>
        <v>0</v>
      </c>
      <c r="K36" s="6">
        <f t="shared" si="0"/>
        <v>0</v>
      </c>
      <c r="L36" s="6">
        <f t="shared" si="0"/>
        <v>0</v>
      </c>
      <c r="M36" s="9"/>
      <c r="N36" s="9">
        <f>11/5</f>
        <v>2.2000000000000002</v>
      </c>
      <c r="O36" s="9">
        <f t="shared" si="1"/>
        <v>0.73333333333333339</v>
      </c>
      <c r="P36" s="9">
        <f t="shared" si="5"/>
        <v>0.24444444444444446</v>
      </c>
      <c r="Q36" s="9">
        <f t="shared" si="5"/>
        <v>8.1481481481481488E-2</v>
      </c>
      <c r="R36" s="9">
        <f t="shared" si="5"/>
        <v>2.7160493827160497E-2</v>
      </c>
      <c r="S36" s="9">
        <f t="shared" si="5"/>
        <v>9.0534979423868324E-3</v>
      </c>
      <c r="T36" s="9">
        <f t="shared" si="5"/>
        <v>3.0178326474622776E-3</v>
      </c>
      <c r="U36" s="9">
        <f t="shared" si="5"/>
        <v>1.0059442158207592E-3</v>
      </c>
      <c r="V36" s="9">
        <f t="shared" si="5"/>
        <v>3.3531473860691973E-4</v>
      </c>
      <c r="W36" s="9">
        <f t="shared" si="5"/>
        <v>1.1177157953563991E-4</v>
      </c>
      <c r="X36" s="9">
        <f t="shared" si="5"/>
        <v>3.7257193178546638E-5</v>
      </c>
      <c r="Y36" s="9"/>
      <c r="AA36" s="5" t="s">
        <v>12</v>
      </c>
      <c r="AB36" s="5" t="s">
        <v>65</v>
      </c>
      <c r="AC36" s="7" t="str" cm="1">
        <f t="array" ref="AC36">INDEX($B$10:$Y$25, INT((ROW(A27)-1)/24) + 1, MOD(ROW(A27)-1, 24) + 1)</f>
        <v>ATQ</v>
      </c>
      <c r="AD36" s="5">
        <v>1</v>
      </c>
      <c r="AE36" s="5" cm="1">
        <f t="array" ref="AE36">INDEX($B$29:$Y$44, INT((ROW(A27)-1)/24) + 1, MOD(ROW(A27)-1, 24) + 1)</f>
        <v>1.1111111111111112E-2</v>
      </c>
      <c r="AF36" s="5" cm="1">
        <f t="array" ref="AF36">INDEX($B$48:$Y$63, INT((ROW(A27)-1)/24) + 1, MOD(ROW(A27)-1, 24) + 1)</f>
        <v>3365</v>
      </c>
    </row>
    <row r="37" spans="1:32" x14ac:dyDescent="0.2">
      <c r="A37" s="4" t="s">
        <v>33</v>
      </c>
      <c r="B37" s="9">
        <f>2.8/5</f>
        <v>0.55999999999999994</v>
      </c>
      <c r="C37" s="9">
        <f t="shared" ref="C37:I38" si="6">B37/3</f>
        <v>0.18666666666666665</v>
      </c>
      <c r="D37" s="9">
        <f t="shared" si="6"/>
        <v>6.2222222222222213E-2</v>
      </c>
      <c r="E37" s="9">
        <f t="shared" si="6"/>
        <v>2.0740740740740737E-2</v>
      </c>
      <c r="F37" s="9">
        <f t="shared" si="6"/>
        <v>6.9135802469135789E-3</v>
      </c>
      <c r="G37" s="9">
        <f t="shared" si="6"/>
        <v>2.3045267489711931E-3</v>
      </c>
      <c r="H37" s="9">
        <f t="shared" si="6"/>
        <v>7.6817558299039767E-4</v>
      </c>
      <c r="I37" s="9">
        <f t="shared" si="6"/>
        <v>2.5605852766346591E-4</v>
      </c>
      <c r="J37" s="9">
        <f t="shared" si="0"/>
        <v>8.535284255448864E-5</v>
      </c>
      <c r="K37" s="9">
        <f t="shared" si="0"/>
        <v>2.8450947518162879E-5</v>
      </c>
      <c r="L37" s="9">
        <f t="shared" si="0"/>
        <v>9.4836491727209591E-6</v>
      </c>
      <c r="M37" s="9"/>
      <c r="N37" s="9">
        <f>5/5</f>
        <v>1</v>
      </c>
      <c r="O37" s="9">
        <f t="shared" si="1"/>
        <v>0.33333333333333331</v>
      </c>
      <c r="P37" s="9">
        <f t="shared" ref="P37:X38" si="7">O37/3</f>
        <v>0.1111111111111111</v>
      </c>
      <c r="Q37" s="9">
        <f t="shared" si="7"/>
        <v>3.7037037037037035E-2</v>
      </c>
      <c r="R37" s="9">
        <f t="shared" si="7"/>
        <v>1.2345679012345678E-2</v>
      </c>
      <c r="S37" s="9">
        <f t="shared" si="7"/>
        <v>4.1152263374485592E-3</v>
      </c>
      <c r="T37" s="9">
        <f t="shared" si="7"/>
        <v>1.3717421124828531E-3</v>
      </c>
      <c r="U37" s="9">
        <f t="shared" si="7"/>
        <v>4.5724737082761773E-4</v>
      </c>
      <c r="V37" s="9">
        <f t="shared" si="7"/>
        <v>1.5241579027587258E-4</v>
      </c>
      <c r="W37" s="9">
        <f t="shared" si="7"/>
        <v>5.0805263425290864E-5</v>
      </c>
      <c r="X37" s="9">
        <f t="shared" si="7"/>
        <v>1.6935087808430289E-5</v>
      </c>
      <c r="Y37" s="9"/>
      <c r="AA37" s="5" t="s">
        <v>12</v>
      </c>
      <c r="AB37" s="5" t="s">
        <v>18</v>
      </c>
      <c r="AC37" s="7" t="str" cm="1">
        <f t="array" ref="AC37">INDEX($B$10:$Y$25, INT((ROW(A28)-1)/24) + 1, MOD(ROW(A28)-1, 24) + 1)</f>
        <v>ATQ</v>
      </c>
      <c r="AD37" s="5">
        <v>1</v>
      </c>
      <c r="AE37" s="5" cm="1">
        <f t="array" ref="AE37">INDEX($B$29:$Y$44, INT((ROW(A28)-1)/24) + 1, MOD(ROW(A28)-1, 24) + 1)</f>
        <v>3.7037037037037038E-3</v>
      </c>
      <c r="AF37" s="5" cm="1">
        <f t="array" ref="AF37">INDEX($B$48:$Y$63, INT((ROW(A28)-1)/24) + 1, MOD(ROW(A28)-1, 24) + 1)</f>
        <v>4120</v>
      </c>
    </row>
    <row r="38" spans="1:32" x14ac:dyDescent="0.2">
      <c r="A38" s="4" t="s">
        <v>37</v>
      </c>
      <c r="B38" s="9">
        <f>2.8/5</f>
        <v>0.55999999999999994</v>
      </c>
      <c r="C38" s="9">
        <f t="shared" si="6"/>
        <v>0.18666666666666665</v>
      </c>
      <c r="D38" s="9">
        <f t="shared" si="6"/>
        <v>6.2222222222222213E-2</v>
      </c>
      <c r="E38" s="9">
        <f t="shared" si="6"/>
        <v>2.0740740740740737E-2</v>
      </c>
      <c r="F38" s="9">
        <f t="shared" si="6"/>
        <v>6.9135802469135789E-3</v>
      </c>
      <c r="G38" s="9">
        <f t="shared" si="6"/>
        <v>2.3045267489711931E-3</v>
      </c>
      <c r="H38" s="9">
        <f t="shared" si="6"/>
        <v>7.6817558299039767E-4</v>
      </c>
      <c r="I38" s="9">
        <f t="shared" si="6"/>
        <v>2.5605852766346591E-4</v>
      </c>
      <c r="J38" s="9">
        <f t="shared" ref="J38:J39" si="8">I38/3</f>
        <v>8.535284255448864E-5</v>
      </c>
      <c r="K38" s="9">
        <f t="shared" ref="K38:K39" si="9">J38/3</f>
        <v>2.8450947518162879E-5</v>
      </c>
      <c r="L38" s="9">
        <f t="shared" ref="L38" si="10">K38/3</f>
        <v>9.4836491727209591E-6</v>
      </c>
      <c r="M38" s="9"/>
      <c r="N38" s="9">
        <f>5/5</f>
        <v>1</v>
      </c>
      <c r="O38" s="9">
        <f t="shared" si="1"/>
        <v>0.33333333333333331</v>
      </c>
      <c r="P38" s="9">
        <f t="shared" si="7"/>
        <v>0.1111111111111111</v>
      </c>
      <c r="Q38" s="9">
        <f t="shared" si="7"/>
        <v>3.7037037037037035E-2</v>
      </c>
      <c r="R38" s="9">
        <f t="shared" si="7"/>
        <v>1.2345679012345678E-2</v>
      </c>
      <c r="S38" s="9">
        <f t="shared" si="7"/>
        <v>4.1152263374485592E-3</v>
      </c>
      <c r="T38" s="9">
        <f t="shared" si="7"/>
        <v>1.3717421124828531E-3</v>
      </c>
      <c r="U38" s="9">
        <f t="shared" si="7"/>
        <v>4.5724737082761773E-4</v>
      </c>
      <c r="V38" s="9">
        <f t="shared" si="7"/>
        <v>1.5241579027587258E-4</v>
      </c>
      <c r="W38" s="9">
        <f t="shared" si="7"/>
        <v>5.0805263425290864E-5</v>
      </c>
      <c r="X38" s="9">
        <f t="shared" si="7"/>
        <v>1.6935087808430289E-5</v>
      </c>
      <c r="Y38" s="9"/>
      <c r="AA38" s="5" t="s">
        <v>12</v>
      </c>
      <c r="AB38" s="5" t="s">
        <v>66</v>
      </c>
      <c r="AC38" s="7" t="str" cm="1">
        <f t="array" ref="AC38">INDEX($B$10:$Y$25, INT((ROW(A29)-1)/24) + 1, MOD(ROW(A29)-1, 24) + 1)</f>
        <v>ATQ</v>
      </c>
      <c r="AD38" s="5">
        <v>1</v>
      </c>
      <c r="AE38" s="5" cm="1">
        <f t="array" ref="AE38">INDEX($B$29:$Y$44, INT((ROW(A29)-1)/24) + 1, MOD(ROW(A29)-1, 24) + 1)</f>
        <v>1.2345679012345679E-3</v>
      </c>
      <c r="AF38" s="5" cm="1">
        <f t="array" ref="AF38">INDEX($B$48:$Y$63, INT((ROW(A29)-1)/24) + 1, MOD(ROW(A29)-1, 24) + 1)</f>
        <v>45945</v>
      </c>
    </row>
    <row r="39" spans="1:32" x14ac:dyDescent="0.2">
      <c r="A39" s="4" t="s">
        <v>39</v>
      </c>
      <c r="B39" s="9">
        <f>3/5</f>
        <v>0.6</v>
      </c>
      <c r="C39" s="9">
        <f t="shared" ref="C39:C44" si="11">B39/3</f>
        <v>0.19999999999999998</v>
      </c>
      <c r="D39" s="9">
        <f t="shared" ref="D39:I40" si="12">C39/3</f>
        <v>6.6666666666666666E-2</v>
      </c>
      <c r="E39" s="9">
        <f t="shared" si="12"/>
        <v>2.2222222222222223E-2</v>
      </c>
      <c r="F39" s="9">
        <f t="shared" si="12"/>
        <v>7.4074074074074077E-3</v>
      </c>
      <c r="G39" s="9">
        <f t="shared" si="12"/>
        <v>2.4691358024691358E-3</v>
      </c>
      <c r="H39" s="9">
        <f t="shared" si="12"/>
        <v>8.2304526748971192E-4</v>
      </c>
      <c r="I39" s="9">
        <f t="shared" si="12"/>
        <v>2.7434842249657066E-4</v>
      </c>
      <c r="J39" s="9">
        <f t="shared" si="8"/>
        <v>9.1449474165523548E-5</v>
      </c>
      <c r="K39" s="9">
        <f t="shared" si="9"/>
        <v>3.0483158055174515E-5</v>
      </c>
      <c r="L39" s="9">
        <f>K39/3</f>
        <v>1.0161052685058171E-5</v>
      </c>
      <c r="M39" s="9"/>
      <c r="N39" s="9">
        <f>1/5</f>
        <v>0.2</v>
      </c>
      <c r="O39" s="9">
        <f t="shared" si="1"/>
        <v>6.6666666666666666E-2</v>
      </c>
      <c r="P39" s="9">
        <f t="shared" ref="P39:X39" si="13">O39/3</f>
        <v>2.2222222222222223E-2</v>
      </c>
      <c r="Q39" s="9">
        <f t="shared" si="13"/>
        <v>7.4074074074074077E-3</v>
      </c>
      <c r="R39" s="9">
        <f t="shared" si="13"/>
        <v>2.4691358024691358E-3</v>
      </c>
      <c r="S39" s="9">
        <f t="shared" si="13"/>
        <v>8.2304526748971192E-4</v>
      </c>
      <c r="T39" s="9">
        <f t="shared" si="13"/>
        <v>2.7434842249657066E-4</v>
      </c>
      <c r="U39" s="9">
        <f t="shared" si="13"/>
        <v>9.1449474165523548E-5</v>
      </c>
      <c r="V39" s="9">
        <f t="shared" si="13"/>
        <v>3.0483158055174515E-5</v>
      </c>
      <c r="W39" s="9">
        <f t="shared" si="13"/>
        <v>1.0161052685058171E-5</v>
      </c>
      <c r="X39" s="9">
        <f t="shared" si="13"/>
        <v>3.3870175616860569E-6</v>
      </c>
      <c r="Y39" s="9"/>
      <c r="AA39" s="5" t="s">
        <v>12</v>
      </c>
      <c r="AB39" s="5" t="s">
        <v>24</v>
      </c>
      <c r="AC39" s="7" t="str" cm="1">
        <f t="array" ref="AC39">INDEX($B$10:$Y$25, INT((ROW(A30)-1)/24) + 1, MOD(ROW(A30)-1, 24) + 1)</f>
        <v>ATQ</v>
      </c>
      <c r="AD39" s="5">
        <v>1</v>
      </c>
      <c r="AE39" s="5" cm="1">
        <f t="array" ref="AE39">INDEX($B$29:$Y$44, INT((ROW(A30)-1)/24) + 1, MOD(ROW(A30)-1, 24) + 1)</f>
        <v>4.1152263374485596E-4</v>
      </c>
      <c r="AF39" s="5" cm="1">
        <f t="array" ref="AF39">INDEX($B$48:$Y$63, INT((ROW(A30)-1)/24) + 1, MOD(ROW(A30)-1, 24) + 1)</f>
        <v>88795</v>
      </c>
    </row>
    <row r="40" spans="1:32" x14ac:dyDescent="0.2">
      <c r="A40" s="4" t="s">
        <v>43</v>
      </c>
      <c r="B40" s="9">
        <f>3/5</f>
        <v>0.6</v>
      </c>
      <c r="C40" s="9">
        <f t="shared" si="11"/>
        <v>0.19999999999999998</v>
      </c>
      <c r="D40" s="9">
        <f t="shared" si="12"/>
        <v>6.6666666666666666E-2</v>
      </c>
      <c r="E40" s="9">
        <f t="shared" si="12"/>
        <v>2.2222222222222223E-2</v>
      </c>
      <c r="F40" s="9">
        <f t="shared" si="12"/>
        <v>7.4074074074074077E-3</v>
      </c>
      <c r="G40" s="9">
        <f t="shared" si="12"/>
        <v>2.4691358024691358E-3</v>
      </c>
      <c r="H40" s="9">
        <f t="shared" si="12"/>
        <v>8.2304526748971192E-4</v>
      </c>
      <c r="I40" s="9">
        <f t="shared" si="12"/>
        <v>2.7434842249657066E-4</v>
      </c>
      <c r="J40" s="9">
        <f t="shared" ref="J40:J41" si="14">I40/3</f>
        <v>9.1449474165523548E-5</v>
      </c>
      <c r="K40" s="9">
        <f t="shared" ref="K40:K41" si="15">J40/3</f>
        <v>3.0483158055174515E-5</v>
      </c>
      <c r="L40" s="9">
        <f t="shared" ref="L40:L41" si="16">K40/3</f>
        <v>1.0161052685058171E-5</v>
      </c>
      <c r="M40" s="9"/>
      <c r="N40" s="9">
        <f>1/5</f>
        <v>0.2</v>
      </c>
      <c r="O40" s="9">
        <f t="shared" ref="O40:X40" si="17">N40/3</f>
        <v>6.6666666666666666E-2</v>
      </c>
      <c r="P40" s="9">
        <f t="shared" si="17"/>
        <v>2.2222222222222223E-2</v>
      </c>
      <c r="Q40" s="9">
        <f t="shared" si="17"/>
        <v>7.4074074074074077E-3</v>
      </c>
      <c r="R40" s="9">
        <f t="shared" si="17"/>
        <v>2.4691358024691358E-3</v>
      </c>
      <c r="S40" s="9">
        <f t="shared" si="17"/>
        <v>8.2304526748971192E-4</v>
      </c>
      <c r="T40" s="9">
        <f t="shared" si="17"/>
        <v>2.7434842249657066E-4</v>
      </c>
      <c r="U40" s="9">
        <f t="shared" si="17"/>
        <v>9.1449474165523548E-5</v>
      </c>
      <c r="V40" s="9">
        <f t="shared" si="17"/>
        <v>3.0483158055174515E-5</v>
      </c>
      <c r="W40" s="9">
        <f t="shared" si="17"/>
        <v>1.0161052685058171E-5</v>
      </c>
      <c r="X40" s="9">
        <f t="shared" si="17"/>
        <v>3.3870175616860569E-6</v>
      </c>
      <c r="Y40" s="9"/>
      <c r="AA40" s="5" t="s">
        <v>12</v>
      </c>
      <c r="AB40" s="5" t="s">
        <v>29</v>
      </c>
      <c r="AC40" s="7" t="str" cm="1">
        <f t="array" ref="AC40">INDEX($B$10:$Y$25, INT((ROW(A31)-1)/24) + 1, MOD(ROW(A31)-1, 24) + 1)</f>
        <v>ATQ</v>
      </c>
      <c r="AD40" s="5">
        <v>1</v>
      </c>
      <c r="AE40" s="5" cm="1">
        <f t="array" ref="AE40">INDEX($B$29:$Y$44, INT((ROW(A31)-1)/24) + 1, MOD(ROW(A31)-1, 24) + 1)</f>
        <v>1.3717421124828533E-4</v>
      </c>
      <c r="AF40" s="5" cm="1">
        <f t="array" ref="AF40">INDEX($B$48:$Y$63, INT((ROW(A31)-1)/24) + 1, MOD(ROW(A31)-1, 24) + 1)</f>
        <v>130325</v>
      </c>
    </row>
    <row r="41" spans="1:32" x14ac:dyDescent="0.2">
      <c r="A41" s="4" t="s">
        <v>45</v>
      </c>
      <c r="B41" s="9">
        <f>0.3/5</f>
        <v>0.06</v>
      </c>
      <c r="C41" s="9">
        <f t="shared" si="11"/>
        <v>0.02</v>
      </c>
      <c r="D41" s="9">
        <f t="shared" ref="D41:I42" si="18">C41/3</f>
        <v>6.6666666666666671E-3</v>
      </c>
      <c r="E41" s="9">
        <f t="shared" si="18"/>
        <v>2.2222222222222222E-3</v>
      </c>
      <c r="F41" s="9">
        <f t="shared" si="18"/>
        <v>7.407407407407407E-4</v>
      </c>
      <c r="G41" s="9">
        <f t="shared" si="18"/>
        <v>2.4691358024691359E-4</v>
      </c>
      <c r="H41" s="9">
        <f t="shared" si="18"/>
        <v>8.23045267489712E-5</v>
      </c>
      <c r="I41" s="9">
        <f t="shared" si="18"/>
        <v>2.7434842249657068E-5</v>
      </c>
      <c r="J41" s="9">
        <f t="shared" si="14"/>
        <v>9.1449474165523565E-6</v>
      </c>
      <c r="K41" s="9">
        <f t="shared" si="15"/>
        <v>3.0483158055174522E-6</v>
      </c>
      <c r="L41" s="9">
        <f t="shared" si="16"/>
        <v>1.0161052685058173E-6</v>
      </c>
      <c r="M41" s="9"/>
      <c r="N41" s="9">
        <f>1/5</f>
        <v>0.2</v>
      </c>
      <c r="O41" s="9">
        <f t="shared" ref="O41:X41" si="19">N41/3</f>
        <v>6.6666666666666666E-2</v>
      </c>
      <c r="P41" s="9">
        <f t="shared" si="19"/>
        <v>2.2222222222222223E-2</v>
      </c>
      <c r="Q41" s="9">
        <f t="shared" si="19"/>
        <v>7.4074074074074077E-3</v>
      </c>
      <c r="R41" s="9">
        <f t="shared" si="19"/>
        <v>2.4691358024691358E-3</v>
      </c>
      <c r="S41" s="9">
        <f t="shared" si="19"/>
        <v>8.2304526748971192E-4</v>
      </c>
      <c r="T41" s="9">
        <f t="shared" si="19"/>
        <v>2.7434842249657066E-4</v>
      </c>
      <c r="U41" s="9">
        <f t="shared" si="19"/>
        <v>9.1449474165523548E-5</v>
      </c>
      <c r="V41" s="9">
        <f t="shared" si="19"/>
        <v>3.0483158055174515E-5</v>
      </c>
      <c r="W41" s="9">
        <f t="shared" si="19"/>
        <v>1.0161052685058171E-5</v>
      </c>
      <c r="X41" s="9">
        <f t="shared" si="19"/>
        <v>3.3870175616860569E-6</v>
      </c>
      <c r="Y41" s="9"/>
      <c r="AA41" s="5" t="s">
        <v>12</v>
      </c>
      <c r="AB41" s="5" t="s">
        <v>35</v>
      </c>
      <c r="AC41" s="7" t="str" cm="1">
        <f t="array" ref="AC41">INDEX($B$10:$Y$25, INT((ROW(A32)-1)/24) + 1, MOD(ROW(A32)-1, 24) + 1)</f>
        <v>ATQ</v>
      </c>
      <c r="AD41" s="5">
        <v>1</v>
      </c>
      <c r="AE41" s="5" cm="1">
        <f t="array" ref="AE41">INDEX($B$29:$Y$44, INT((ROW(A32)-1)/24) + 1, MOD(ROW(A32)-1, 24) + 1)</f>
        <v>4.5724737082761774E-5</v>
      </c>
      <c r="AF41" s="5" cm="1">
        <f t="array" ref="AF41">INDEX($B$48:$Y$63, INT((ROW(A32)-1)/24) + 1, MOD(ROW(A32)-1, 24) + 1)</f>
        <v>147505</v>
      </c>
    </row>
    <row r="42" spans="1:32" x14ac:dyDescent="0.2">
      <c r="A42" s="4" t="s">
        <v>48</v>
      </c>
      <c r="B42" s="9">
        <f>0.3/5</f>
        <v>0.06</v>
      </c>
      <c r="C42" s="9">
        <f t="shared" si="11"/>
        <v>0.02</v>
      </c>
      <c r="D42" s="9">
        <f t="shared" si="18"/>
        <v>6.6666666666666671E-3</v>
      </c>
      <c r="E42" s="9">
        <f t="shared" si="18"/>
        <v>2.2222222222222222E-3</v>
      </c>
      <c r="F42" s="9">
        <f t="shared" si="18"/>
        <v>7.407407407407407E-4</v>
      </c>
      <c r="G42" s="9">
        <f t="shared" si="18"/>
        <v>2.4691358024691359E-4</v>
      </c>
      <c r="H42" s="9">
        <f t="shared" si="18"/>
        <v>8.23045267489712E-5</v>
      </c>
      <c r="I42" s="9">
        <f t="shared" si="18"/>
        <v>2.7434842249657068E-5</v>
      </c>
      <c r="J42" s="9">
        <f t="shared" ref="J42:J43" si="20">I42/3</f>
        <v>9.1449474165523565E-6</v>
      </c>
      <c r="K42" s="9">
        <f t="shared" ref="K42:K43" si="21">J42/3</f>
        <v>3.0483158055174522E-6</v>
      </c>
      <c r="L42" s="9">
        <f t="shared" ref="L42:L43" si="22">K42/3</f>
        <v>1.0161052685058173E-6</v>
      </c>
      <c r="M42" s="9"/>
      <c r="N42" s="9">
        <f>1/5</f>
        <v>0.2</v>
      </c>
      <c r="O42" s="9">
        <f t="shared" ref="O42:X42" si="23">N42/3</f>
        <v>6.6666666666666666E-2</v>
      </c>
      <c r="P42" s="9">
        <f t="shared" si="23"/>
        <v>2.2222222222222223E-2</v>
      </c>
      <c r="Q42" s="9">
        <f t="shared" si="23"/>
        <v>7.4074074074074077E-3</v>
      </c>
      <c r="R42" s="9">
        <f t="shared" si="23"/>
        <v>2.4691358024691358E-3</v>
      </c>
      <c r="S42" s="9">
        <f t="shared" si="23"/>
        <v>8.2304526748971192E-4</v>
      </c>
      <c r="T42" s="9">
        <f t="shared" si="23"/>
        <v>2.7434842249657066E-4</v>
      </c>
      <c r="U42" s="9">
        <f t="shared" si="23"/>
        <v>9.1449474165523548E-5</v>
      </c>
      <c r="V42" s="9">
        <f t="shared" si="23"/>
        <v>3.0483158055174515E-5</v>
      </c>
      <c r="W42" s="9">
        <f t="shared" si="23"/>
        <v>1.0161052685058171E-5</v>
      </c>
      <c r="X42" s="9">
        <f t="shared" si="23"/>
        <v>3.3870175616860569E-6</v>
      </c>
      <c r="Y42" s="9"/>
      <c r="AA42" s="5" t="s">
        <v>12</v>
      </c>
      <c r="AB42" s="5" t="s">
        <v>41</v>
      </c>
      <c r="AC42" s="7" t="str" cm="1">
        <f t="array" ref="AC42">INDEX($B$10:$Y$25, INT((ROW(A33)-1)/24) + 1, MOD(ROW(A33)-1, 24) + 1)</f>
        <v>ATQ</v>
      </c>
      <c r="AD42" s="5">
        <v>1</v>
      </c>
      <c r="AE42" s="5" cm="1">
        <f t="array" ref="AE42">INDEX($B$29:$Y$44, INT((ROW(A33)-1)/24) + 1, MOD(ROW(A33)-1, 24) + 1)</f>
        <v>1.5241579027587257E-5</v>
      </c>
      <c r="AF42" s="5" cm="1">
        <f t="array" ref="AF42">INDEX($B$48:$Y$63, INT((ROW(A33)-1)/24) + 1, MOD(ROW(A33)-1, 24) + 1)</f>
        <v>142290</v>
      </c>
    </row>
    <row r="43" spans="1:32" x14ac:dyDescent="0.2">
      <c r="A43" s="4" t="s">
        <v>50</v>
      </c>
      <c r="B43" s="9">
        <f>31.6/5</f>
        <v>6.32</v>
      </c>
      <c r="C43" s="9">
        <f t="shared" si="11"/>
        <v>2.1066666666666669</v>
      </c>
      <c r="D43" s="9">
        <f t="shared" ref="D43:I44" si="24">C43/3</f>
        <v>0.7022222222222223</v>
      </c>
      <c r="E43" s="9">
        <f>D43/3</f>
        <v>0.2340740740740741</v>
      </c>
      <c r="F43" s="9">
        <f t="shared" si="24"/>
        <v>7.80246913580247E-2</v>
      </c>
      <c r="G43" s="9">
        <f t="shared" si="24"/>
        <v>2.6008230452674901E-2</v>
      </c>
      <c r="H43" s="9">
        <f t="shared" si="24"/>
        <v>8.6694101508916332E-3</v>
      </c>
      <c r="I43" s="9">
        <f t="shared" si="24"/>
        <v>2.8898033836305442E-3</v>
      </c>
      <c r="J43" s="9">
        <f t="shared" si="20"/>
        <v>9.6326779454351471E-4</v>
      </c>
      <c r="K43" s="9">
        <f t="shared" si="21"/>
        <v>3.2108926484783826E-4</v>
      </c>
      <c r="L43" s="9">
        <f t="shared" si="22"/>
        <v>1.0702975494927942E-4</v>
      </c>
      <c r="M43" s="9"/>
      <c r="N43" s="9">
        <f>2.7/5</f>
        <v>0.54</v>
      </c>
      <c r="O43" s="9">
        <f>N43/3</f>
        <v>0.18000000000000002</v>
      </c>
      <c r="P43" s="9">
        <f t="shared" ref="P43:X44" si="25">O43/3</f>
        <v>6.0000000000000005E-2</v>
      </c>
      <c r="Q43" s="9">
        <f t="shared" si="25"/>
        <v>0.02</v>
      </c>
      <c r="R43" s="9">
        <f t="shared" si="25"/>
        <v>6.6666666666666671E-3</v>
      </c>
      <c r="S43" s="9">
        <f t="shared" si="25"/>
        <v>2.2222222222222222E-3</v>
      </c>
      <c r="T43" s="9">
        <f t="shared" si="25"/>
        <v>7.407407407407407E-4</v>
      </c>
      <c r="U43" s="9">
        <f t="shared" si="25"/>
        <v>2.4691358024691359E-4</v>
      </c>
      <c r="V43" s="9">
        <f t="shared" si="25"/>
        <v>8.23045267489712E-5</v>
      </c>
      <c r="W43" s="9">
        <f t="shared" si="25"/>
        <v>2.7434842249657068E-5</v>
      </c>
      <c r="X43" s="9">
        <f t="shared" si="25"/>
        <v>9.1449474165523565E-6</v>
      </c>
      <c r="Y43" s="9"/>
      <c r="AA43" s="5" t="s">
        <v>12</v>
      </c>
      <c r="AB43" s="5" t="s">
        <v>46</v>
      </c>
      <c r="AC43" s="7" t="str" cm="1">
        <f t="array" ref="AC43">INDEX($B$10:$Y$25, INT((ROW(A34)-1)/24) + 1, MOD(ROW(A34)-1, 24) + 1)</f>
        <v>ATQ</v>
      </c>
      <c r="AD43" s="5">
        <v>1</v>
      </c>
      <c r="AE43" s="5" cm="1">
        <f t="array" ref="AE43">INDEX($B$29:$Y$44, INT((ROW(A34)-1)/24) + 1, MOD(ROW(A34)-1, 24) + 1)</f>
        <v>5.0805263425290855E-6</v>
      </c>
      <c r="AF43" s="5" cm="1">
        <f t="array" ref="AF43">INDEX($B$48:$Y$63, INT((ROW(A34)-1)/24) + 1, MOD(ROW(A34)-1, 24) + 1)</f>
        <v>138240</v>
      </c>
    </row>
    <row r="44" spans="1:32" x14ac:dyDescent="0.2">
      <c r="A44" s="4" t="s">
        <v>53</v>
      </c>
      <c r="B44" s="9">
        <f>31.6/5</f>
        <v>6.32</v>
      </c>
      <c r="C44" s="9">
        <f t="shared" si="11"/>
        <v>2.1066666666666669</v>
      </c>
      <c r="D44" s="9">
        <f t="shared" si="24"/>
        <v>0.7022222222222223</v>
      </c>
      <c r="E44" s="9">
        <f t="shared" si="24"/>
        <v>0.2340740740740741</v>
      </c>
      <c r="F44" s="9">
        <f t="shared" si="24"/>
        <v>7.80246913580247E-2</v>
      </c>
      <c r="G44" s="9">
        <f t="shared" si="24"/>
        <v>2.6008230452674901E-2</v>
      </c>
      <c r="H44" s="9">
        <f t="shared" si="24"/>
        <v>8.6694101508916332E-3</v>
      </c>
      <c r="I44" s="9">
        <f t="shared" si="24"/>
        <v>2.8898033836305442E-3</v>
      </c>
      <c r="J44" s="9">
        <f t="shared" ref="J44" si="26">I44/3</f>
        <v>9.6326779454351471E-4</v>
      </c>
      <c r="K44" s="9">
        <f t="shared" ref="K44" si="27">J44/3</f>
        <v>3.2108926484783826E-4</v>
      </c>
      <c r="L44" s="9">
        <f t="shared" ref="L44" si="28">K44/3</f>
        <v>1.0702975494927942E-4</v>
      </c>
      <c r="M44" s="9"/>
      <c r="N44" s="9">
        <f>2.7/5</f>
        <v>0.54</v>
      </c>
      <c r="O44" s="9">
        <f>N44/3</f>
        <v>0.18000000000000002</v>
      </c>
      <c r="P44" s="9">
        <f t="shared" si="25"/>
        <v>6.0000000000000005E-2</v>
      </c>
      <c r="Q44" s="9">
        <f t="shared" si="25"/>
        <v>0.02</v>
      </c>
      <c r="R44" s="9">
        <f t="shared" si="25"/>
        <v>6.6666666666666671E-3</v>
      </c>
      <c r="S44" s="9">
        <f t="shared" si="25"/>
        <v>2.2222222222222222E-3</v>
      </c>
      <c r="T44" s="9">
        <f t="shared" si="25"/>
        <v>7.407407407407407E-4</v>
      </c>
      <c r="U44" s="9">
        <f t="shared" si="25"/>
        <v>2.4691358024691359E-4</v>
      </c>
      <c r="V44" s="9">
        <f t="shared" si="25"/>
        <v>8.23045267489712E-5</v>
      </c>
      <c r="W44" s="9">
        <f t="shared" si="25"/>
        <v>2.7434842249657068E-5</v>
      </c>
      <c r="X44" s="9">
        <f t="shared" si="25"/>
        <v>9.1449474165523565E-6</v>
      </c>
      <c r="Y44" s="9"/>
      <c r="AA44" s="5" t="s">
        <v>12</v>
      </c>
      <c r="AB44" s="5" t="s">
        <v>51</v>
      </c>
      <c r="AC44" s="7" t="str" cm="1">
        <f t="array" ref="AC44">INDEX($B$10:$Y$25, INT((ROW(A35)-1)/24) + 1, MOD(ROW(A35)-1, 24) + 1)</f>
        <v>ATQ</v>
      </c>
      <c r="AD44" s="5">
        <v>1</v>
      </c>
      <c r="AE44" s="5" cm="1">
        <f t="array" ref="AE44">INDEX($B$29:$Y$44, INT((ROW(A35)-1)/24) + 1, MOD(ROW(A35)-1, 24) + 1)</f>
        <v>1.6935087808430284E-6</v>
      </c>
      <c r="AF44" s="5" cm="1">
        <f t="array" ref="AF44">INDEX($B$48:$Y$63, INT((ROW(A35)-1)/24) + 1, MOD(ROW(A35)-1, 24) + 1)</f>
        <v>153615</v>
      </c>
    </row>
    <row r="45" spans="1:32" x14ac:dyDescent="0.2">
      <c r="AA45" s="5" t="s">
        <v>12</v>
      </c>
      <c r="AB45" s="5" t="s">
        <v>67</v>
      </c>
      <c r="AC45" s="7"/>
      <c r="AD45" s="5"/>
      <c r="AE45" s="5" cm="1">
        <f t="array" ref="AE45">INDEX($B$29:$Y$44, INT((ROW(A36)-1)/24) + 1, MOD(ROW(A36)-1, 24) + 1)</f>
        <v>0</v>
      </c>
      <c r="AF45" s="5" cm="1">
        <f t="array" ref="AF45">INDEX($B$48:$Y$63, INT((ROW(A36)-1)/24) + 1, MOD(ROW(A36)-1, 24) + 1)</f>
        <v>1500</v>
      </c>
    </row>
    <row r="46" spans="1:32" x14ac:dyDescent="0.2">
      <c r="AA46" s="5" t="s">
        <v>12</v>
      </c>
      <c r="AB46" s="5" t="s">
        <v>68</v>
      </c>
      <c r="AC46" s="7" t="str" cm="1">
        <f t="array" ref="AC46">INDEX($B$10:$Y$25, INT((ROW(A37)-1)/24) + 1, MOD(ROW(A37)-1, 24) + 1)</f>
        <v>B1</v>
      </c>
      <c r="AD46" s="5">
        <v>1</v>
      </c>
      <c r="AE46" s="5" cm="1">
        <f t="array" ref="AE46">INDEX($B$29:$Y$44, INT((ROW(A37)-1)/24) + 1, MOD(ROW(A37)-1, 24) + 1)</f>
        <v>0.74</v>
      </c>
      <c r="AF46" s="5" cm="1">
        <f t="array" ref="AF46">INDEX($B$48:$Y$63, INT((ROW(A37)-1)/24) + 1, MOD(ROW(A37)-1, 24) + 1)</f>
        <v>58475</v>
      </c>
    </row>
    <row r="47" spans="1:32" x14ac:dyDescent="0.2">
      <c r="A47" s="10" t="s">
        <v>69</v>
      </c>
      <c r="B47" s="11">
        <v>1</v>
      </c>
      <c r="C47" s="12">
        <v>2</v>
      </c>
      <c r="D47" s="12">
        <v>3</v>
      </c>
      <c r="E47" s="12">
        <v>4</v>
      </c>
      <c r="F47" s="12">
        <v>5</v>
      </c>
      <c r="G47" s="12">
        <v>6</v>
      </c>
      <c r="H47" s="12">
        <v>7</v>
      </c>
      <c r="I47" s="12">
        <v>8</v>
      </c>
      <c r="J47" s="12">
        <v>9</v>
      </c>
      <c r="K47" s="12">
        <v>10</v>
      </c>
      <c r="L47" s="12">
        <v>11</v>
      </c>
      <c r="M47" s="12">
        <v>12</v>
      </c>
      <c r="N47" s="12">
        <v>13</v>
      </c>
      <c r="O47" s="12">
        <v>14</v>
      </c>
      <c r="P47" s="12">
        <v>15</v>
      </c>
      <c r="Q47" s="12">
        <v>16</v>
      </c>
      <c r="R47" s="12">
        <v>17</v>
      </c>
      <c r="S47" s="12">
        <v>18</v>
      </c>
      <c r="T47" s="12">
        <v>19</v>
      </c>
      <c r="U47" s="12">
        <v>20</v>
      </c>
      <c r="V47" s="12">
        <v>21</v>
      </c>
      <c r="W47" s="12">
        <v>22</v>
      </c>
      <c r="X47" s="12">
        <v>23</v>
      </c>
      <c r="Y47" s="12">
        <v>24</v>
      </c>
      <c r="AA47" s="5" t="s">
        <v>12</v>
      </c>
      <c r="AB47" s="5" t="s">
        <v>70</v>
      </c>
      <c r="AC47" s="7" t="str" cm="1">
        <f t="array" ref="AC47">INDEX($B$10:$Y$25, INT((ROW(A38)-1)/24) + 1, MOD(ROW(A38)-1, 24) + 1)</f>
        <v>B1</v>
      </c>
      <c r="AD47" s="5">
        <v>1</v>
      </c>
      <c r="AE47" s="5" cm="1">
        <f t="array" ref="AE47">INDEX($B$29:$Y$44, INT((ROW(A38)-1)/24) + 1, MOD(ROW(A38)-1, 24) + 1)</f>
        <v>0.24666666666666667</v>
      </c>
      <c r="AF47" s="5" cm="1">
        <f t="array" ref="AF47">INDEX($B$48:$Y$63, INT((ROW(A38)-1)/24) + 1, MOD(ROW(A38)-1, 24) + 1)</f>
        <v>123745</v>
      </c>
    </row>
    <row r="48" spans="1:32" x14ac:dyDescent="0.2">
      <c r="A48" s="11" t="s">
        <v>9</v>
      </c>
      <c r="B48" s="13">
        <v>2000</v>
      </c>
      <c r="C48" s="14">
        <v>2885</v>
      </c>
      <c r="D48" s="14">
        <v>3150</v>
      </c>
      <c r="E48" s="14">
        <v>11670</v>
      </c>
      <c r="F48" s="14">
        <v>63630</v>
      </c>
      <c r="G48" s="14">
        <v>101730</v>
      </c>
      <c r="H48" s="14">
        <v>137755</v>
      </c>
      <c r="I48" s="14">
        <v>137165</v>
      </c>
      <c r="J48" s="14">
        <v>145550</v>
      </c>
      <c r="K48" s="14">
        <v>135055</v>
      </c>
      <c r="L48" s="14">
        <v>144730</v>
      </c>
      <c r="M48" s="14">
        <v>1370</v>
      </c>
      <c r="N48" s="14">
        <v>58400</v>
      </c>
      <c r="O48" s="14">
        <v>120120</v>
      </c>
      <c r="P48" s="14">
        <v>118680</v>
      </c>
      <c r="Q48" s="14">
        <v>134435</v>
      </c>
      <c r="R48" s="14">
        <v>133090</v>
      </c>
      <c r="S48" s="14">
        <v>133995</v>
      </c>
      <c r="T48" s="14">
        <v>139460</v>
      </c>
      <c r="U48" s="14">
        <v>147410</v>
      </c>
      <c r="V48" s="14">
        <v>124035</v>
      </c>
      <c r="W48" s="14">
        <v>124535</v>
      </c>
      <c r="X48" s="14">
        <v>117900</v>
      </c>
      <c r="Y48" s="15">
        <v>510</v>
      </c>
      <c r="AA48" s="5" t="s">
        <v>12</v>
      </c>
      <c r="AB48" s="5" t="s">
        <v>71</v>
      </c>
      <c r="AC48" s="7" t="str" cm="1">
        <f t="array" ref="AC48">INDEX($B$10:$Y$25, INT((ROW(A39)-1)/24) + 1, MOD(ROW(A39)-1, 24) + 1)</f>
        <v>B1</v>
      </c>
      <c r="AD48" s="5">
        <v>1</v>
      </c>
      <c r="AE48" s="5" cm="1">
        <f t="array" ref="AE48">INDEX($B$29:$Y$44, INT((ROW(A39)-1)/24) + 1, MOD(ROW(A39)-1, 24) + 1)</f>
        <v>8.2222222222222224E-2</v>
      </c>
      <c r="AF48" s="5" cm="1">
        <f t="array" ref="AF48">INDEX($B$48:$Y$63, INT((ROW(A39)-1)/24) + 1, MOD(ROW(A39)-1, 24) + 1)</f>
        <v>132550</v>
      </c>
    </row>
    <row r="49" spans="1:32" x14ac:dyDescent="0.2">
      <c r="A49" s="16" t="s">
        <v>14</v>
      </c>
      <c r="B49" s="17">
        <v>1805</v>
      </c>
      <c r="C49" s="18">
        <v>2565</v>
      </c>
      <c r="D49" s="18">
        <v>3365</v>
      </c>
      <c r="E49" s="18">
        <v>4120</v>
      </c>
      <c r="F49" s="18">
        <v>45945</v>
      </c>
      <c r="G49" s="18">
        <v>88795</v>
      </c>
      <c r="H49" s="18">
        <v>130325</v>
      </c>
      <c r="I49" s="18">
        <v>147505</v>
      </c>
      <c r="J49" s="18">
        <v>142290</v>
      </c>
      <c r="K49" s="18">
        <v>138240</v>
      </c>
      <c r="L49" s="18">
        <v>153615</v>
      </c>
      <c r="M49" s="18">
        <v>1500</v>
      </c>
      <c r="N49" s="18">
        <v>58475</v>
      </c>
      <c r="O49" s="18">
        <v>123745</v>
      </c>
      <c r="P49" s="18">
        <v>132550</v>
      </c>
      <c r="Q49" s="18">
        <v>130870</v>
      </c>
      <c r="R49" s="18">
        <v>137510</v>
      </c>
      <c r="S49" s="18">
        <v>146075</v>
      </c>
      <c r="T49" s="18">
        <v>137245</v>
      </c>
      <c r="U49" s="18">
        <v>156015</v>
      </c>
      <c r="V49" s="18">
        <v>138850</v>
      </c>
      <c r="W49" s="18">
        <v>151770</v>
      </c>
      <c r="X49" s="18">
        <v>132545</v>
      </c>
      <c r="Y49" s="19">
        <v>450</v>
      </c>
      <c r="AA49" s="5" t="s">
        <v>12</v>
      </c>
      <c r="AB49" s="5" t="s">
        <v>72</v>
      </c>
      <c r="AC49" s="7" t="str" cm="1">
        <f t="array" ref="AC49">INDEX($B$10:$Y$25, INT((ROW(A40)-1)/24) + 1, MOD(ROW(A40)-1, 24) + 1)</f>
        <v>B1</v>
      </c>
      <c r="AD49" s="5">
        <v>1</v>
      </c>
      <c r="AE49" s="5" cm="1">
        <f t="array" ref="AE49">INDEX($B$29:$Y$44, INT((ROW(A40)-1)/24) + 1, MOD(ROW(A40)-1, 24) + 1)</f>
        <v>2.7407407407407408E-2</v>
      </c>
      <c r="AF49" s="5" cm="1">
        <f t="array" ref="AF49">INDEX($B$48:$Y$63, INT((ROW(A40)-1)/24) + 1, MOD(ROW(A40)-1, 24) + 1)</f>
        <v>130870</v>
      </c>
    </row>
    <row r="50" spans="1:32" x14ac:dyDescent="0.2">
      <c r="A50" s="16" t="s">
        <v>16</v>
      </c>
      <c r="B50" s="17">
        <v>230</v>
      </c>
      <c r="C50" s="18">
        <v>300</v>
      </c>
      <c r="D50" s="18">
        <v>360</v>
      </c>
      <c r="E50" s="18">
        <v>390</v>
      </c>
      <c r="F50" s="18">
        <v>540</v>
      </c>
      <c r="G50" s="18">
        <v>1180</v>
      </c>
      <c r="H50" s="18">
        <v>2610</v>
      </c>
      <c r="I50" s="18">
        <v>26170</v>
      </c>
      <c r="J50" s="18">
        <v>73745</v>
      </c>
      <c r="K50" s="18">
        <v>124745</v>
      </c>
      <c r="L50" s="18">
        <v>89475</v>
      </c>
      <c r="M50" s="18">
        <v>805</v>
      </c>
      <c r="N50" s="18">
        <v>76940</v>
      </c>
      <c r="O50" s="18">
        <v>137935</v>
      </c>
      <c r="P50" s="18">
        <v>139555</v>
      </c>
      <c r="Q50" s="18">
        <v>152460</v>
      </c>
      <c r="R50" s="18">
        <v>144750</v>
      </c>
      <c r="S50" s="18">
        <v>144970</v>
      </c>
      <c r="T50" s="18">
        <v>155000</v>
      </c>
      <c r="U50" s="18">
        <v>142785</v>
      </c>
      <c r="V50" s="18">
        <v>148175</v>
      </c>
      <c r="W50" s="18">
        <v>143945</v>
      </c>
      <c r="X50" s="18">
        <v>133905</v>
      </c>
      <c r="Y50" s="19">
        <v>735</v>
      </c>
      <c r="AA50" s="5" t="s">
        <v>12</v>
      </c>
      <c r="AB50" s="5" t="s">
        <v>73</v>
      </c>
      <c r="AC50" s="7" t="str" cm="1">
        <f t="array" ref="AC50">INDEX($B$10:$Y$25, INT((ROW(A41)-1)/24) + 1, MOD(ROW(A41)-1, 24) + 1)</f>
        <v>B1</v>
      </c>
      <c r="AD50" s="5">
        <v>1</v>
      </c>
      <c r="AE50" s="5" cm="1">
        <f t="array" ref="AE50">INDEX($B$29:$Y$44, INT((ROW(A41)-1)/24) + 1, MOD(ROW(A41)-1, 24) + 1)</f>
        <v>9.1358024691358033E-3</v>
      </c>
      <c r="AF50" s="5" cm="1">
        <f t="array" ref="AF50">INDEX($B$48:$Y$63, INT((ROW(A41)-1)/24) + 1, MOD(ROW(A41)-1, 24) + 1)</f>
        <v>137510</v>
      </c>
    </row>
    <row r="51" spans="1:32" x14ac:dyDescent="0.2">
      <c r="A51" s="16" t="s">
        <v>20</v>
      </c>
      <c r="B51" s="17">
        <v>755</v>
      </c>
      <c r="C51" s="18">
        <v>860</v>
      </c>
      <c r="D51" s="18">
        <v>915</v>
      </c>
      <c r="E51" s="18">
        <v>1060</v>
      </c>
      <c r="F51" s="18">
        <v>800</v>
      </c>
      <c r="G51" s="18">
        <v>1265</v>
      </c>
      <c r="H51" s="18">
        <v>2550</v>
      </c>
      <c r="I51" s="18">
        <v>17995</v>
      </c>
      <c r="J51" s="18">
        <v>79100</v>
      </c>
      <c r="K51" s="18">
        <v>115810</v>
      </c>
      <c r="L51" s="18">
        <v>64875</v>
      </c>
      <c r="M51" s="18">
        <v>790</v>
      </c>
      <c r="N51" s="18">
        <v>78060</v>
      </c>
      <c r="O51" s="18">
        <v>136275</v>
      </c>
      <c r="P51" s="18">
        <v>141110</v>
      </c>
      <c r="Q51" s="18">
        <v>148450</v>
      </c>
      <c r="R51" s="18">
        <v>131775</v>
      </c>
      <c r="S51" s="18">
        <v>155160</v>
      </c>
      <c r="T51" s="18">
        <v>145395</v>
      </c>
      <c r="U51" s="18">
        <v>151100</v>
      </c>
      <c r="V51" s="18">
        <v>162590</v>
      </c>
      <c r="W51" s="18">
        <v>150280</v>
      </c>
      <c r="X51" s="18">
        <v>140930</v>
      </c>
      <c r="Y51" s="19">
        <v>810</v>
      </c>
      <c r="AA51" s="5" t="s">
        <v>12</v>
      </c>
      <c r="AB51" s="5" t="s">
        <v>74</v>
      </c>
      <c r="AC51" s="7" t="str" cm="1">
        <f t="array" ref="AC51">INDEX($B$10:$Y$25, INT((ROW(A42)-1)/24) + 1, MOD(ROW(A42)-1, 24) + 1)</f>
        <v>B1</v>
      </c>
      <c r="AD51" s="5">
        <v>1</v>
      </c>
      <c r="AE51" s="5" cm="1">
        <f t="array" ref="AE51">INDEX($B$29:$Y$44, INT((ROW(A42)-1)/24) + 1, MOD(ROW(A42)-1, 24) + 1)</f>
        <v>3.0452674897119346E-3</v>
      </c>
      <c r="AF51" s="5" cm="1">
        <f t="array" ref="AF51">INDEX($B$48:$Y$63, INT((ROW(A42)-1)/24) + 1, MOD(ROW(A42)-1, 24) + 1)</f>
        <v>146075</v>
      </c>
    </row>
    <row r="52" spans="1:32" x14ac:dyDescent="0.2">
      <c r="A52" s="16" t="s">
        <v>22</v>
      </c>
      <c r="B52" s="17">
        <v>151975</v>
      </c>
      <c r="C52" s="18">
        <v>148610</v>
      </c>
      <c r="D52" s="18">
        <v>154975</v>
      </c>
      <c r="E52" s="18">
        <v>153760</v>
      </c>
      <c r="F52" s="18">
        <v>151150</v>
      </c>
      <c r="G52" s="18">
        <v>156820</v>
      </c>
      <c r="H52" s="18">
        <v>145855</v>
      </c>
      <c r="I52" s="18">
        <v>148785</v>
      </c>
      <c r="J52" s="18">
        <v>142825</v>
      </c>
      <c r="K52" s="18">
        <v>147010</v>
      </c>
      <c r="L52" s="18">
        <v>149480</v>
      </c>
      <c r="M52" s="18">
        <v>1275</v>
      </c>
      <c r="N52" s="18">
        <v>100385</v>
      </c>
      <c r="O52" s="18">
        <v>158635</v>
      </c>
      <c r="P52" s="18">
        <v>147440</v>
      </c>
      <c r="Q52" s="18">
        <v>151375</v>
      </c>
      <c r="R52" s="18">
        <v>151885</v>
      </c>
      <c r="S52" s="18">
        <v>156285</v>
      </c>
      <c r="T52" s="18">
        <v>151450</v>
      </c>
      <c r="U52" s="18">
        <v>158345</v>
      </c>
      <c r="V52" s="18">
        <v>157360</v>
      </c>
      <c r="W52" s="18">
        <v>138260</v>
      </c>
      <c r="X52" s="18">
        <v>143710</v>
      </c>
      <c r="Y52" s="19">
        <v>795</v>
      </c>
      <c r="AA52" s="5" t="s">
        <v>12</v>
      </c>
      <c r="AB52" s="5" t="s">
        <v>75</v>
      </c>
      <c r="AC52" s="7" t="str" cm="1">
        <f t="array" ref="AC52">INDEX($B$10:$Y$25, INT((ROW(A43)-1)/24) + 1, MOD(ROW(A43)-1, 24) + 1)</f>
        <v>B1</v>
      </c>
      <c r="AD52" s="5">
        <v>1</v>
      </c>
      <c r="AE52" s="5" cm="1">
        <f t="array" ref="AE52">INDEX($B$29:$Y$44, INT((ROW(A43)-1)/24) + 1, MOD(ROW(A43)-1, 24) + 1)</f>
        <v>1.0150891632373115E-3</v>
      </c>
      <c r="AF52" s="5" cm="1">
        <f t="array" ref="AF52">INDEX($B$48:$Y$63, INT((ROW(A43)-1)/24) + 1, MOD(ROW(A43)-1, 24) + 1)</f>
        <v>137245</v>
      </c>
    </row>
    <row r="53" spans="1:32" x14ac:dyDescent="0.2">
      <c r="A53" s="16" t="s">
        <v>26</v>
      </c>
      <c r="B53" s="17">
        <v>148760</v>
      </c>
      <c r="C53" s="18">
        <v>141710</v>
      </c>
      <c r="D53" s="18">
        <v>148930</v>
      </c>
      <c r="E53" s="18">
        <v>149550</v>
      </c>
      <c r="F53" s="18">
        <v>146965</v>
      </c>
      <c r="G53" s="18">
        <v>147920</v>
      </c>
      <c r="H53" s="18">
        <v>153105</v>
      </c>
      <c r="I53" s="18">
        <v>150015</v>
      </c>
      <c r="J53" s="18">
        <v>149955</v>
      </c>
      <c r="K53" s="18">
        <v>142155</v>
      </c>
      <c r="L53" s="18">
        <v>153405</v>
      </c>
      <c r="M53" s="18">
        <v>1050</v>
      </c>
      <c r="N53" s="18">
        <v>93905</v>
      </c>
      <c r="O53" s="18">
        <v>141565</v>
      </c>
      <c r="P53" s="18">
        <v>151990</v>
      </c>
      <c r="Q53" s="18">
        <v>153250</v>
      </c>
      <c r="R53" s="18">
        <v>143490</v>
      </c>
      <c r="S53" s="18">
        <v>143495</v>
      </c>
      <c r="T53" s="18">
        <v>140560</v>
      </c>
      <c r="U53" s="18">
        <v>150570</v>
      </c>
      <c r="V53" s="18">
        <v>149050</v>
      </c>
      <c r="W53" s="18">
        <v>146905</v>
      </c>
      <c r="X53" s="18">
        <v>141750</v>
      </c>
      <c r="Y53" s="19">
        <v>680</v>
      </c>
      <c r="AA53" s="5" t="s">
        <v>12</v>
      </c>
      <c r="AB53" s="5" t="s">
        <v>76</v>
      </c>
      <c r="AC53" s="7" t="str" cm="1">
        <f t="array" ref="AC53">INDEX($B$10:$Y$25, INT((ROW(A44)-1)/24) + 1, MOD(ROW(A44)-1, 24) + 1)</f>
        <v>B1</v>
      </c>
      <c r="AD53" s="5">
        <v>1</v>
      </c>
      <c r="AE53" s="5" cm="1">
        <f t="array" ref="AE53">INDEX($B$29:$Y$44, INT((ROW(A44)-1)/24) + 1, MOD(ROW(A44)-1, 24) + 1)</f>
        <v>3.3836305441243717E-4</v>
      </c>
      <c r="AF53" s="5" cm="1">
        <f t="array" ref="AF53">INDEX($B$48:$Y$63, INT((ROW(A44)-1)/24) + 1, MOD(ROW(A44)-1, 24) + 1)</f>
        <v>156015</v>
      </c>
    </row>
    <row r="54" spans="1:32" x14ac:dyDescent="0.2">
      <c r="A54" s="16" t="s">
        <v>28</v>
      </c>
      <c r="B54" s="17">
        <v>133635</v>
      </c>
      <c r="C54" s="18">
        <v>146440</v>
      </c>
      <c r="D54" s="18">
        <v>146395</v>
      </c>
      <c r="E54" s="18">
        <v>157010</v>
      </c>
      <c r="F54" s="18">
        <v>150990</v>
      </c>
      <c r="G54" s="18">
        <v>151425</v>
      </c>
      <c r="H54" s="18">
        <v>156250</v>
      </c>
      <c r="I54" s="18">
        <v>160220</v>
      </c>
      <c r="J54" s="18">
        <v>138355</v>
      </c>
      <c r="K54" s="18">
        <v>150145</v>
      </c>
      <c r="L54" s="18">
        <v>145670</v>
      </c>
      <c r="M54" s="18">
        <v>955</v>
      </c>
      <c r="N54" s="18">
        <v>335</v>
      </c>
      <c r="O54" s="18">
        <v>1240</v>
      </c>
      <c r="P54" s="18">
        <v>1840</v>
      </c>
      <c r="Q54" s="18">
        <v>5960</v>
      </c>
      <c r="R54" s="18">
        <v>17135</v>
      </c>
      <c r="S54" s="18">
        <v>50965</v>
      </c>
      <c r="T54" s="18">
        <v>91560</v>
      </c>
      <c r="U54" s="18">
        <v>112785</v>
      </c>
      <c r="V54" s="18">
        <v>128905</v>
      </c>
      <c r="W54" s="18">
        <v>142815</v>
      </c>
      <c r="X54" s="18">
        <v>133075</v>
      </c>
      <c r="Y54" s="19">
        <v>650</v>
      </c>
      <c r="AA54" s="5" t="s">
        <v>12</v>
      </c>
      <c r="AB54" s="5" t="s">
        <v>77</v>
      </c>
      <c r="AC54" s="7" t="str" cm="1">
        <f t="array" ref="AC54">INDEX($B$10:$Y$25, INT((ROW(A45)-1)/24) + 1, MOD(ROW(A45)-1, 24) + 1)</f>
        <v>B1</v>
      </c>
      <c r="AD54" s="5">
        <v>1</v>
      </c>
      <c r="AE54" s="5" cm="1">
        <f t="array" ref="AE54">INDEX($B$29:$Y$44, INT((ROW(A45)-1)/24) + 1, MOD(ROW(A45)-1, 24) + 1)</f>
        <v>1.1278768480414572E-4</v>
      </c>
      <c r="AF54" s="5" cm="1">
        <f t="array" ref="AF54">INDEX($B$48:$Y$63, INT((ROW(A45)-1)/24) + 1, MOD(ROW(A45)-1, 24) + 1)</f>
        <v>138850</v>
      </c>
    </row>
    <row r="55" spans="1:32" x14ac:dyDescent="0.2">
      <c r="A55" s="16" t="s">
        <v>31</v>
      </c>
      <c r="B55" s="17">
        <v>123545</v>
      </c>
      <c r="C55" s="18">
        <v>136910</v>
      </c>
      <c r="D55" s="18">
        <v>132685</v>
      </c>
      <c r="E55" s="18">
        <v>152850</v>
      </c>
      <c r="F55" s="18">
        <v>143640</v>
      </c>
      <c r="G55" s="18">
        <v>144730</v>
      </c>
      <c r="H55" s="18">
        <v>149075</v>
      </c>
      <c r="I55" s="18">
        <v>159015</v>
      </c>
      <c r="J55" s="18">
        <v>145400</v>
      </c>
      <c r="K55" s="18">
        <v>139480</v>
      </c>
      <c r="L55" s="18">
        <v>145160</v>
      </c>
      <c r="M55" s="18">
        <v>990</v>
      </c>
      <c r="N55" s="23">
        <v>355</v>
      </c>
      <c r="O55" s="23">
        <v>142090</v>
      </c>
      <c r="P55" s="23">
        <v>144510</v>
      </c>
      <c r="Q55" s="23">
        <v>151850</v>
      </c>
      <c r="R55" s="23">
        <v>144120</v>
      </c>
      <c r="S55" s="23">
        <v>161390</v>
      </c>
      <c r="T55" s="23">
        <v>158905</v>
      </c>
      <c r="U55" s="23">
        <v>140920</v>
      </c>
      <c r="V55" s="23">
        <v>153420</v>
      </c>
      <c r="W55" s="23">
        <v>141245</v>
      </c>
      <c r="X55" s="23">
        <v>124920</v>
      </c>
      <c r="Y55" s="24">
        <v>600</v>
      </c>
      <c r="AA55" s="5" t="s">
        <v>12</v>
      </c>
      <c r="AB55" s="5" t="s">
        <v>78</v>
      </c>
      <c r="AC55" s="7" t="str" cm="1">
        <f t="array" ref="AC55">INDEX($B$10:$Y$25, INT((ROW(A46)-1)/24) + 1, MOD(ROW(A46)-1, 24) + 1)</f>
        <v>B1</v>
      </c>
      <c r="AD55" s="5">
        <v>1</v>
      </c>
      <c r="AE55" s="5" cm="1">
        <f t="array" ref="AE55">INDEX($B$29:$Y$44, INT((ROW(A46)-1)/24) + 1, MOD(ROW(A46)-1, 24) + 1)</f>
        <v>3.7595894934715244E-5</v>
      </c>
      <c r="AF55" s="5" cm="1">
        <f t="array" ref="AF55">INDEX($B$48:$Y$63, INT((ROW(A46)-1)/24) + 1, MOD(ROW(A46)-1, 24) + 1)</f>
        <v>151770</v>
      </c>
    </row>
    <row r="56" spans="1:32" x14ac:dyDescent="0.2">
      <c r="A56" s="16" t="s">
        <v>33</v>
      </c>
      <c r="B56" s="17">
        <v>7060</v>
      </c>
      <c r="C56" s="18">
        <v>22730</v>
      </c>
      <c r="D56" s="18">
        <v>33410</v>
      </c>
      <c r="E56" s="18">
        <v>54320</v>
      </c>
      <c r="F56" s="18">
        <v>71190</v>
      </c>
      <c r="G56" s="18">
        <v>81420</v>
      </c>
      <c r="H56" s="18">
        <v>85855</v>
      </c>
      <c r="I56" s="18">
        <v>98280</v>
      </c>
      <c r="J56" s="18">
        <v>100800</v>
      </c>
      <c r="K56" s="18">
        <v>104345</v>
      </c>
      <c r="L56" s="18">
        <v>106750</v>
      </c>
      <c r="M56" s="18">
        <v>640</v>
      </c>
      <c r="N56" s="18">
        <v>6635</v>
      </c>
      <c r="O56" s="18">
        <v>35735</v>
      </c>
      <c r="P56" s="18">
        <v>44925</v>
      </c>
      <c r="Q56" s="18">
        <v>69625</v>
      </c>
      <c r="R56" s="18">
        <v>97445</v>
      </c>
      <c r="S56" s="18">
        <v>111540</v>
      </c>
      <c r="T56" s="18">
        <v>139500</v>
      </c>
      <c r="U56" s="18">
        <v>141755</v>
      </c>
      <c r="V56" s="18">
        <v>147840</v>
      </c>
      <c r="W56" s="18">
        <v>137400</v>
      </c>
      <c r="X56" s="18">
        <v>138640</v>
      </c>
      <c r="Y56" s="19">
        <v>675</v>
      </c>
      <c r="AA56" s="5" t="s">
        <v>12</v>
      </c>
      <c r="AB56" s="5" t="s">
        <v>79</v>
      </c>
      <c r="AC56" s="7" t="str" cm="1">
        <f t="array" ref="AC56">INDEX($B$10:$Y$25, INT((ROW(A47)-1)/24) + 1, MOD(ROW(A47)-1, 24) + 1)</f>
        <v>B1</v>
      </c>
      <c r="AD56" s="5">
        <v>1</v>
      </c>
      <c r="AE56" s="5" cm="1">
        <f t="array" ref="AE56">INDEX($B$29:$Y$44, INT((ROW(A47)-1)/24) + 1, MOD(ROW(A47)-1, 24) + 1)</f>
        <v>1.2531964978238415E-5</v>
      </c>
      <c r="AF56" s="5" cm="1">
        <f t="array" ref="AF56">INDEX($B$48:$Y$63, INT((ROW(A47)-1)/24) + 1, MOD(ROW(A47)-1, 24) + 1)</f>
        <v>132545</v>
      </c>
    </row>
    <row r="57" spans="1:32" x14ac:dyDescent="0.2">
      <c r="A57" s="16" t="s">
        <v>37</v>
      </c>
      <c r="B57" s="17">
        <v>6885</v>
      </c>
      <c r="C57" s="18">
        <v>9360</v>
      </c>
      <c r="D57" s="18">
        <v>25820</v>
      </c>
      <c r="E57" s="18">
        <v>27340</v>
      </c>
      <c r="F57" s="18">
        <v>54235</v>
      </c>
      <c r="G57" s="18">
        <v>80300</v>
      </c>
      <c r="H57" s="18">
        <v>97505</v>
      </c>
      <c r="I57" s="18">
        <v>111175</v>
      </c>
      <c r="J57" s="18">
        <v>136020</v>
      </c>
      <c r="K57" s="18">
        <v>140840</v>
      </c>
      <c r="L57" s="18">
        <v>136670</v>
      </c>
      <c r="M57" s="18">
        <v>810</v>
      </c>
      <c r="N57" s="18">
        <v>7440</v>
      </c>
      <c r="O57" s="18">
        <v>33140</v>
      </c>
      <c r="P57" s="18">
        <v>49980</v>
      </c>
      <c r="Q57" s="18">
        <v>72985</v>
      </c>
      <c r="R57" s="18">
        <v>96010</v>
      </c>
      <c r="S57" s="18">
        <v>112860</v>
      </c>
      <c r="T57" s="18">
        <v>127620</v>
      </c>
      <c r="U57" s="18">
        <v>136035</v>
      </c>
      <c r="V57" s="18">
        <v>143190</v>
      </c>
      <c r="W57" s="18">
        <v>149110</v>
      </c>
      <c r="X57" s="18">
        <v>138325</v>
      </c>
      <c r="Y57" s="19">
        <v>825</v>
      </c>
      <c r="AA57" s="5" t="s">
        <v>12</v>
      </c>
      <c r="AB57" s="5" t="s">
        <v>80</v>
      </c>
      <c r="AC57" s="7"/>
      <c r="AD57" s="5"/>
      <c r="AE57" s="5" cm="1">
        <f t="array" ref="AE57">INDEX($B$29:$Y$44, INT((ROW(A48)-1)/24) + 1, MOD(ROW(A48)-1, 24) + 1)</f>
        <v>0</v>
      </c>
      <c r="AF57" s="5" cm="1">
        <f t="array" ref="AF57">INDEX($B$48:$Y$63, INT((ROW(A48)-1)/24) + 1, MOD(ROW(A48)-1, 24) + 1)</f>
        <v>450</v>
      </c>
    </row>
    <row r="58" spans="1:32" x14ac:dyDescent="0.2">
      <c r="A58" s="16" t="s">
        <v>39</v>
      </c>
      <c r="B58" s="17">
        <v>6140</v>
      </c>
      <c r="C58" s="18">
        <v>6405</v>
      </c>
      <c r="D58" s="18">
        <v>18100</v>
      </c>
      <c r="E58" s="18">
        <v>36520</v>
      </c>
      <c r="F58" s="18">
        <v>62525</v>
      </c>
      <c r="G58" s="18">
        <v>78805</v>
      </c>
      <c r="H58" s="18">
        <v>110085</v>
      </c>
      <c r="I58" s="18">
        <v>141715</v>
      </c>
      <c r="J58" s="18">
        <v>140890</v>
      </c>
      <c r="K58" s="18">
        <v>142465</v>
      </c>
      <c r="L58" s="18">
        <v>134065</v>
      </c>
      <c r="M58" s="18">
        <v>745</v>
      </c>
      <c r="N58" s="18">
        <v>715</v>
      </c>
      <c r="O58" s="18">
        <v>5000</v>
      </c>
      <c r="P58" s="18">
        <v>19180</v>
      </c>
      <c r="Q58" s="18">
        <v>63790</v>
      </c>
      <c r="R58" s="18">
        <v>98105</v>
      </c>
      <c r="S58" s="18">
        <v>119155</v>
      </c>
      <c r="T58" s="18">
        <v>125185</v>
      </c>
      <c r="U58" s="18">
        <v>123805</v>
      </c>
      <c r="V58" s="18">
        <v>147060</v>
      </c>
      <c r="W58" s="18">
        <v>128175</v>
      </c>
      <c r="X58" s="18">
        <v>132415</v>
      </c>
      <c r="Y58" s="19">
        <v>650</v>
      </c>
      <c r="AA58" s="5" t="s">
        <v>12</v>
      </c>
      <c r="AB58" s="5" t="s">
        <v>81</v>
      </c>
      <c r="AC58" s="7" t="str" cm="1">
        <f t="array" ref="AC58">INDEX($B$10:$Y$25, INT((ROW(A49)-1)/24) + 1, MOD(ROW(A49)-1, 24) + 1)</f>
        <v>GNF179</v>
      </c>
      <c r="AD58" s="5">
        <v>1</v>
      </c>
      <c r="AE58" s="5" cm="1">
        <f t="array" ref="AE58">INDEX($B$29:$Y$44, INT((ROW(A49)-1)/24) + 1, MOD(ROW(A49)-1, 24) + 1)</f>
        <v>2</v>
      </c>
      <c r="AF58" s="5" cm="1">
        <f t="array" ref="AF58">INDEX($B$48:$Y$63, INT((ROW(A49)-1)/24) + 1, MOD(ROW(A49)-1, 24) + 1)</f>
        <v>230</v>
      </c>
    </row>
    <row r="59" spans="1:32" x14ac:dyDescent="0.2">
      <c r="A59" s="16" t="s">
        <v>43</v>
      </c>
      <c r="B59" s="17">
        <v>4010</v>
      </c>
      <c r="C59" s="18">
        <v>12260</v>
      </c>
      <c r="D59" s="18">
        <v>23755</v>
      </c>
      <c r="E59" s="18">
        <v>44275</v>
      </c>
      <c r="F59" s="18">
        <v>66035</v>
      </c>
      <c r="G59" s="18">
        <v>89570</v>
      </c>
      <c r="H59" s="18">
        <v>111815</v>
      </c>
      <c r="I59" s="18">
        <v>138385</v>
      </c>
      <c r="J59" s="18">
        <v>133695</v>
      </c>
      <c r="K59" s="18">
        <v>143860</v>
      </c>
      <c r="L59" s="18">
        <v>142890</v>
      </c>
      <c r="M59" s="18">
        <v>830</v>
      </c>
      <c r="N59" s="18">
        <v>525</v>
      </c>
      <c r="O59" s="18">
        <v>10030</v>
      </c>
      <c r="P59" s="18">
        <v>24180</v>
      </c>
      <c r="Q59" s="18">
        <v>42690</v>
      </c>
      <c r="R59" s="18">
        <v>73045</v>
      </c>
      <c r="S59" s="18">
        <v>109375</v>
      </c>
      <c r="T59" s="18">
        <v>116730</v>
      </c>
      <c r="U59" s="18">
        <v>130435</v>
      </c>
      <c r="V59" s="18">
        <v>141035</v>
      </c>
      <c r="W59" s="18">
        <v>141660</v>
      </c>
      <c r="X59" s="18">
        <v>130020</v>
      </c>
      <c r="Y59" s="19">
        <v>710</v>
      </c>
      <c r="AA59" s="5" t="s">
        <v>12</v>
      </c>
      <c r="AB59" s="5" t="s">
        <v>82</v>
      </c>
      <c r="AC59" s="7" t="str" cm="1">
        <f t="array" ref="AC59">INDEX($B$10:$Y$25, INT((ROW(A50)-1)/24) + 1, MOD(ROW(A50)-1, 24) + 1)</f>
        <v>GNF179</v>
      </c>
      <c r="AD59" s="5">
        <v>1</v>
      </c>
      <c r="AE59" s="5" cm="1">
        <f t="array" ref="AE59">INDEX($B$29:$Y$44, INT((ROW(A50)-1)/24) + 1, MOD(ROW(A50)-1, 24) + 1)</f>
        <v>0.66666666666666663</v>
      </c>
      <c r="AF59" s="5" cm="1">
        <f t="array" ref="AF59">INDEX($B$48:$Y$63, INT((ROW(A50)-1)/24) + 1, MOD(ROW(A50)-1, 24) + 1)</f>
        <v>300</v>
      </c>
    </row>
    <row r="60" spans="1:32" x14ac:dyDescent="0.2">
      <c r="A60" s="16" t="s">
        <v>45</v>
      </c>
      <c r="B60" s="17">
        <v>104365</v>
      </c>
      <c r="C60" s="18">
        <v>158125</v>
      </c>
      <c r="D60" s="18">
        <v>152125</v>
      </c>
      <c r="E60" s="18">
        <v>147440</v>
      </c>
      <c r="F60" s="18">
        <v>157130</v>
      </c>
      <c r="G60" s="18">
        <v>170645</v>
      </c>
      <c r="H60" s="18">
        <v>159910</v>
      </c>
      <c r="I60" s="18">
        <v>153505</v>
      </c>
      <c r="J60" s="18">
        <v>153860</v>
      </c>
      <c r="K60" s="18">
        <v>153525</v>
      </c>
      <c r="L60" s="18">
        <v>140885</v>
      </c>
      <c r="M60" s="18">
        <v>895</v>
      </c>
      <c r="N60" s="18">
        <v>29495</v>
      </c>
      <c r="O60" s="18">
        <v>117955</v>
      </c>
      <c r="P60" s="18">
        <v>116920</v>
      </c>
      <c r="Q60" s="18">
        <v>132305</v>
      </c>
      <c r="R60" s="18">
        <v>140820</v>
      </c>
      <c r="S60" s="18">
        <v>148985</v>
      </c>
      <c r="T60" s="18">
        <v>152540</v>
      </c>
      <c r="U60" s="18">
        <v>156900</v>
      </c>
      <c r="V60" s="18">
        <v>153710</v>
      </c>
      <c r="W60" s="18">
        <v>144130</v>
      </c>
      <c r="X60" s="18">
        <v>129895</v>
      </c>
      <c r="Y60" s="19">
        <v>845</v>
      </c>
      <c r="AA60" s="5" t="s">
        <v>12</v>
      </c>
      <c r="AB60" s="5" t="s">
        <v>83</v>
      </c>
      <c r="AC60" s="7" t="str" cm="1">
        <f t="array" ref="AC60">INDEX($B$10:$Y$25, INT((ROW(A51)-1)/24) + 1, MOD(ROW(A51)-1, 24) + 1)</f>
        <v>GNF179</v>
      </c>
      <c r="AD60" s="5">
        <v>1</v>
      </c>
      <c r="AE60" s="5" cm="1">
        <f t="array" ref="AE60">INDEX($B$29:$Y$44, INT((ROW(A51)-1)/24) + 1, MOD(ROW(A51)-1, 24) + 1)</f>
        <v>0.22222222222222221</v>
      </c>
      <c r="AF60" s="5" cm="1">
        <f t="array" ref="AF60">INDEX($B$48:$Y$63, INT((ROW(A51)-1)/24) + 1, MOD(ROW(A51)-1, 24) + 1)</f>
        <v>360</v>
      </c>
    </row>
    <row r="61" spans="1:32" x14ac:dyDescent="0.2">
      <c r="A61" s="16" t="s">
        <v>48</v>
      </c>
      <c r="B61" s="17">
        <v>104135</v>
      </c>
      <c r="C61" s="18">
        <v>153390</v>
      </c>
      <c r="D61" s="18">
        <v>157340</v>
      </c>
      <c r="E61" s="18">
        <v>155145</v>
      </c>
      <c r="F61" s="18">
        <v>155190</v>
      </c>
      <c r="G61" s="18">
        <v>166805</v>
      </c>
      <c r="H61" s="18">
        <v>152755</v>
      </c>
      <c r="I61" s="18">
        <v>151205</v>
      </c>
      <c r="J61" s="18">
        <v>154725</v>
      </c>
      <c r="K61" s="18">
        <v>150995</v>
      </c>
      <c r="L61" s="18">
        <v>158425</v>
      </c>
      <c r="M61" s="18">
        <v>1110</v>
      </c>
      <c r="N61" s="18">
        <v>33905</v>
      </c>
      <c r="O61" s="18">
        <v>116665</v>
      </c>
      <c r="P61" s="18">
        <v>122535</v>
      </c>
      <c r="Q61" s="18">
        <v>146710</v>
      </c>
      <c r="R61" s="18">
        <v>144655</v>
      </c>
      <c r="S61" s="18">
        <v>132385</v>
      </c>
      <c r="T61" s="18">
        <v>145470</v>
      </c>
      <c r="U61" s="18">
        <v>154730</v>
      </c>
      <c r="V61" s="18">
        <v>150090</v>
      </c>
      <c r="W61" s="18">
        <v>161515</v>
      </c>
      <c r="X61" s="18">
        <v>150810</v>
      </c>
      <c r="Y61" s="19">
        <v>965</v>
      </c>
      <c r="AA61" s="5" t="s">
        <v>12</v>
      </c>
      <c r="AB61" s="5" t="s">
        <v>84</v>
      </c>
      <c r="AC61" s="7" t="str" cm="1">
        <f t="array" ref="AC61">INDEX($B$10:$Y$25, INT((ROW(A52)-1)/24) + 1, MOD(ROW(A52)-1, 24) + 1)</f>
        <v>GNF179</v>
      </c>
      <c r="AD61" s="5">
        <v>1</v>
      </c>
      <c r="AE61" s="5" cm="1">
        <f t="array" ref="AE61">INDEX($B$29:$Y$44, INT((ROW(A52)-1)/24) + 1, MOD(ROW(A52)-1, 24) + 1)</f>
        <v>7.407407407407407E-2</v>
      </c>
      <c r="AF61" s="5" cm="1">
        <f t="array" ref="AF61">INDEX($B$48:$Y$63, INT((ROW(A52)-1)/24) + 1, MOD(ROW(A52)-1, 24) + 1)</f>
        <v>390</v>
      </c>
    </row>
    <row r="62" spans="1:32" x14ac:dyDescent="0.2">
      <c r="A62" s="16" t="s">
        <v>50</v>
      </c>
      <c r="B62" s="17">
        <v>1855</v>
      </c>
      <c r="C62" s="18">
        <v>3830</v>
      </c>
      <c r="D62" s="18">
        <v>6515</v>
      </c>
      <c r="E62" s="18">
        <v>13100</v>
      </c>
      <c r="F62" s="18">
        <v>19220</v>
      </c>
      <c r="G62" s="18">
        <v>23070</v>
      </c>
      <c r="H62" s="18">
        <v>36295</v>
      </c>
      <c r="I62" s="18">
        <v>56360</v>
      </c>
      <c r="J62" s="18">
        <v>84460</v>
      </c>
      <c r="K62" s="18">
        <v>98660</v>
      </c>
      <c r="L62" s="18">
        <v>117005</v>
      </c>
      <c r="M62" s="18">
        <v>685</v>
      </c>
      <c r="N62" s="18">
        <v>6275</v>
      </c>
      <c r="O62" s="18">
        <v>65360</v>
      </c>
      <c r="P62" s="18">
        <v>84495</v>
      </c>
      <c r="Q62" s="18">
        <v>93020</v>
      </c>
      <c r="R62" s="18">
        <v>118230</v>
      </c>
      <c r="S62" s="18">
        <v>116385</v>
      </c>
      <c r="T62" s="18">
        <v>124280</v>
      </c>
      <c r="U62" s="18">
        <v>137640</v>
      </c>
      <c r="V62" s="18">
        <v>133805</v>
      </c>
      <c r="W62" s="18">
        <v>126895</v>
      </c>
      <c r="X62" s="18">
        <v>134965</v>
      </c>
      <c r="Y62" s="19">
        <v>630</v>
      </c>
      <c r="AA62" s="5" t="s">
        <v>12</v>
      </c>
      <c r="AB62" s="5" t="s">
        <v>85</v>
      </c>
      <c r="AC62" s="7" t="str" cm="1">
        <f t="array" ref="AC62">INDEX($B$10:$Y$25, INT((ROW(A53)-1)/24) + 1, MOD(ROW(A53)-1, 24) + 1)</f>
        <v>GNF179</v>
      </c>
      <c r="AD62" s="5">
        <v>1</v>
      </c>
      <c r="AE62" s="5" cm="1">
        <f t="array" ref="AE62">INDEX($B$29:$Y$44, INT((ROW(A53)-1)/24) + 1, MOD(ROW(A53)-1, 24) + 1)</f>
        <v>2.4691358024691357E-2</v>
      </c>
      <c r="AF62" s="5" cm="1">
        <f t="array" ref="AF62">INDEX($B$48:$Y$63, INT((ROW(A53)-1)/24) + 1, MOD(ROW(A53)-1, 24) + 1)</f>
        <v>540</v>
      </c>
    </row>
    <row r="63" spans="1:32" x14ac:dyDescent="0.2">
      <c r="A63" s="16" t="s">
        <v>53</v>
      </c>
      <c r="B63" s="20">
        <v>920</v>
      </c>
      <c r="C63" s="21">
        <v>3190</v>
      </c>
      <c r="D63" s="21">
        <v>5105</v>
      </c>
      <c r="E63" s="21">
        <v>10410</v>
      </c>
      <c r="F63" s="21">
        <v>19890</v>
      </c>
      <c r="G63" s="21">
        <v>23915</v>
      </c>
      <c r="H63" s="21">
        <v>28560</v>
      </c>
      <c r="I63" s="21">
        <v>39585</v>
      </c>
      <c r="J63" s="21">
        <v>43085</v>
      </c>
      <c r="K63" s="21">
        <v>64015</v>
      </c>
      <c r="L63" s="21">
        <v>71525</v>
      </c>
      <c r="M63" s="21">
        <v>625</v>
      </c>
      <c r="N63" s="21">
        <v>9715</v>
      </c>
      <c r="O63" s="21">
        <v>55875</v>
      </c>
      <c r="P63" s="21">
        <v>83745</v>
      </c>
      <c r="Q63" s="21">
        <v>104955</v>
      </c>
      <c r="R63" s="21">
        <v>110710</v>
      </c>
      <c r="S63" s="21">
        <v>120765</v>
      </c>
      <c r="T63" s="21">
        <v>119150</v>
      </c>
      <c r="U63" s="21">
        <v>129410</v>
      </c>
      <c r="V63" s="21">
        <v>127000</v>
      </c>
      <c r="W63" s="21">
        <v>124020</v>
      </c>
      <c r="X63" s="21">
        <v>129945</v>
      </c>
      <c r="Y63" s="22">
        <v>680</v>
      </c>
      <c r="AA63" s="5" t="s">
        <v>12</v>
      </c>
      <c r="AB63" s="5" t="s">
        <v>86</v>
      </c>
      <c r="AC63" s="7" t="str" cm="1">
        <f t="array" ref="AC63">INDEX($B$10:$Y$25, INT((ROW(A54)-1)/24) + 1, MOD(ROW(A54)-1, 24) + 1)</f>
        <v>GNF179</v>
      </c>
      <c r="AD63" s="5">
        <v>1</v>
      </c>
      <c r="AE63" s="5" cm="1">
        <f t="array" ref="AE63">INDEX($B$29:$Y$44, INT((ROW(A54)-1)/24) + 1, MOD(ROW(A54)-1, 24) + 1)</f>
        <v>8.2304526748971183E-3</v>
      </c>
      <c r="AF63" s="5" cm="1">
        <f t="array" ref="AF63">INDEX($B$48:$Y$63, INT((ROW(A54)-1)/24) + 1, MOD(ROW(A54)-1, 24) + 1)</f>
        <v>1180</v>
      </c>
    </row>
    <row r="64" spans="1:32" x14ac:dyDescent="0.2">
      <c r="AA64" s="5" t="s">
        <v>12</v>
      </c>
      <c r="AB64" s="5" t="s">
        <v>87</v>
      </c>
      <c r="AC64" s="7" t="str" cm="1">
        <f t="array" ref="AC64">INDEX($B$10:$Y$25, INT((ROW(A55)-1)/24) + 1, MOD(ROW(A55)-1, 24) + 1)</f>
        <v>GNF179</v>
      </c>
      <c r="AD64" s="5">
        <v>1</v>
      </c>
      <c r="AE64" s="5" cm="1">
        <f t="array" ref="AE64">INDEX($B$29:$Y$44, INT((ROW(A55)-1)/24) + 1, MOD(ROW(A55)-1, 24) + 1)</f>
        <v>2.7434842249657062E-3</v>
      </c>
      <c r="AF64" s="5" cm="1">
        <f t="array" ref="AF64">INDEX($B$48:$Y$63, INT((ROW(A55)-1)/24) + 1, MOD(ROW(A55)-1, 24) + 1)</f>
        <v>2610</v>
      </c>
    </row>
    <row r="65" spans="1:32" x14ac:dyDescent="0.2">
      <c r="B65" t="s">
        <v>88</v>
      </c>
      <c r="C65">
        <f>AVERAGE(B50:F51,Y48:Y63)</f>
        <v>670</v>
      </c>
      <c r="E65" t="s">
        <v>89</v>
      </c>
      <c r="F65">
        <f>AVERAGE(B52:L55)</f>
        <v>147562.27272727274</v>
      </c>
      <c r="AA65" s="5" t="s">
        <v>12</v>
      </c>
      <c r="AB65" s="5" t="s">
        <v>90</v>
      </c>
      <c r="AC65" s="7" t="str" cm="1">
        <f t="array" ref="AC65">INDEX($B$10:$Y$25, INT((ROW(A56)-1)/24) + 1, MOD(ROW(A56)-1, 24) + 1)</f>
        <v>GNF179</v>
      </c>
      <c r="AD65" s="5">
        <v>1</v>
      </c>
      <c r="AE65" s="5" cm="1">
        <f t="array" ref="AE65">INDEX($B$29:$Y$44, INT((ROW(A56)-1)/24) + 1, MOD(ROW(A56)-1, 24) + 1)</f>
        <v>9.1449474165523545E-4</v>
      </c>
      <c r="AF65" s="5" cm="1">
        <f t="array" ref="AF65">INDEX($B$48:$Y$63, INT((ROW(A56)-1)/24) + 1, MOD(ROW(A56)-1, 24) + 1)</f>
        <v>26170</v>
      </c>
    </row>
    <row r="66" spans="1:32" x14ac:dyDescent="0.2">
      <c r="AA66" s="5" t="s">
        <v>12</v>
      </c>
      <c r="AB66" s="5" t="s">
        <v>91</v>
      </c>
      <c r="AC66" s="7" t="str" cm="1">
        <f t="array" ref="AC66">INDEX($B$10:$Y$25, INT((ROW(A57)-1)/24) + 1, MOD(ROW(A57)-1, 24) + 1)</f>
        <v>GNF179</v>
      </c>
      <c r="AD66" s="5">
        <v>1</v>
      </c>
      <c r="AE66" s="5" cm="1">
        <f t="array" ref="AE66">INDEX($B$29:$Y$44, INT((ROW(A57)-1)/24) + 1, MOD(ROW(A57)-1, 24) + 1)</f>
        <v>3.0483158055174517E-4</v>
      </c>
      <c r="AF66" s="5" cm="1">
        <f t="array" ref="AF66">INDEX($B$48:$Y$63, INT((ROW(A57)-1)/24) + 1, MOD(ROW(A57)-1, 24) + 1)</f>
        <v>73745</v>
      </c>
    </row>
    <row r="67" spans="1:32" x14ac:dyDescent="0.2">
      <c r="AA67" s="5" t="s">
        <v>12</v>
      </c>
      <c r="AB67" s="5" t="s">
        <v>92</v>
      </c>
      <c r="AC67" s="7" t="str" cm="1">
        <f t="array" ref="AC67">INDEX($B$10:$Y$25, INT((ROW(A58)-1)/24) + 1, MOD(ROW(A58)-1, 24) + 1)</f>
        <v>GNF179</v>
      </c>
      <c r="AD67" s="5">
        <v>1</v>
      </c>
      <c r="AE67" s="5" cm="1">
        <f t="array" ref="AE67">INDEX($B$29:$Y$44, INT((ROW(A58)-1)/24) + 1, MOD(ROW(A58)-1, 24) + 1)</f>
        <v>1.0161052685058173E-4</v>
      </c>
      <c r="AF67" s="5" cm="1">
        <f t="array" ref="AF67">INDEX($B$48:$Y$63, INT((ROW(A58)-1)/24) + 1, MOD(ROW(A58)-1, 24) + 1)</f>
        <v>124745</v>
      </c>
    </row>
    <row r="68" spans="1:32" x14ac:dyDescent="0.2">
      <c r="A68" s="10" t="s">
        <v>93</v>
      </c>
      <c r="B68" s="11">
        <v>1</v>
      </c>
      <c r="C68" s="12">
        <v>2</v>
      </c>
      <c r="D68" s="12">
        <v>3</v>
      </c>
      <c r="E68" s="12">
        <v>4</v>
      </c>
      <c r="F68" s="12">
        <v>5</v>
      </c>
      <c r="G68" s="12">
        <v>6</v>
      </c>
      <c r="H68" s="12">
        <v>7</v>
      </c>
      <c r="I68" s="12">
        <v>8</v>
      </c>
      <c r="J68" s="12">
        <v>9</v>
      </c>
      <c r="K68" s="12">
        <v>10</v>
      </c>
      <c r="L68" s="12">
        <v>11</v>
      </c>
      <c r="M68" s="12">
        <v>12</v>
      </c>
      <c r="N68" s="12">
        <v>13</v>
      </c>
      <c r="O68" s="12">
        <v>14</v>
      </c>
      <c r="P68" s="12">
        <v>15</v>
      </c>
      <c r="Q68" s="12">
        <v>16</v>
      </c>
      <c r="R68" s="12">
        <v>17</v>
      </c>
      <c r="S68" s="12">
        <v>18</v>
      </c>
      <c r="T68" s="12">
        <v>19</v>
      </c>
      <c r="U68" s="12">
        <v>20</v>
      </c>
      <c r="V68" s="12">
        <v>21</v>
      </c>
      <c r="W68" s="12">
        <v>22</v>
      </c>
      <c r="X68" s="12">
        <v>23</v>
      </c>
      <c r="Y68" s="12">
        <v>24</v>
      </c>
      <c r="AA68" s="5" t="s">
        <v>12</v>
      </c>
      <c r="AB68" s="5" t="s">
        <v>94</v>
      </c>
      <c r="AC68" s="7" t="str" cm="1">
        <f t="array" ref="AC68">INDEX($B$10:$Y$25, INT((ROW(A59)-1)/24) + 1, MOD(ROW(A59)-1, 24) + 1)</f>
        <v>GNF179</v>
      </c>
      <c r="AD68" s="5">
        <v>1</v>
      </c>
      <c r="AE68" s="5" cm="1">
        <f t="array" ref="AE68">INDEX($B$29:$Y$44, INT((ROW(A59)-1)/24) + 1, MOD(ROW(A59)-1, 24) + 1)</f>
        <v>3.3870175616860578E-5</v>
      </c>
      <c r="AF68" s="5" cm="1">
        <f t="array" ref="AF68">INDEX($B$48:$Y$63, INT((ROW(A59)-1)/24) + 1, MOD(ROW(A59)-1, 24) + 1)</f>
        <v>89475</v>
      </c>
    </row>
    <row r="69" spans="1:32" x14ac:dyDescent="0.2">
      <c r="A69" s="11" t="s">
        <v>9</v>
      </c>
      <c r="B69" s="13">
        <f t="shared" ref="B69:L84" si="29">((B48-$C$65)/($F$65-$C$65))*100</f>
        <v>0.90542543546136156</v>
      </c>
      <c r="C69" s="13">
        <f t="shared" si="29"/>
        <v>1.5079077740954254</v>
      </c>
      <c r="D69" s="13">
        <f t="shared" si="29"/>
        <v>1.6883120901835917</v>
      </c>
      <c r="E69" s="13">
        <f t="shared" si="29"/>
        <v>7.4884810451691557</v>
      </c>
      <c r="F69" s="13">
        <f t="shared" si="29"/>
        <v>42.861342418531819</v>
      </c>
      <c r="G69" s="13">
        <f t="shared" si="29"/>
        <v>68.798717674981361</v>
      </c>
      <c r="H69" s="13">
        <f t="shared" si="29"/>
        <v>93.323493097910344</v>
      </c>
      <c r="I69" s="13">
        <f t="shared" si="29"/>
        <v>92.921838205487632</v>
      </c>
      <c r="J69" s="13">
        <f t="shared" si="29"/>
        <v>98.630103074918836</v>
      </c>
      <c r="K69" s="13">
        <f t="shared" si="29"/>
        <v>91.485411386823372</v>
      </c>
      <c r="L69" s="13">
        <f t="shared" si="29"/>
        <v>98.071870851551694</v>
      </c>
      <c r="M69" s="13"/>
      <c r="N69" s="13">
        <f t="shared" ref="N69:X84" si="30">((N48-$C$65)/($F$65-$C$65))*100</f>
        <v>39.300910067055945</v>
      </c>
      <c r="O69" s="13">
        <f t="shared" si="30"/>
        <v>81.318096440495964</v>
      </c>
      <c r="P69" s="13">
        <f t="shared" si="30"/>
        <v>80.337786194582918</v>
      </c>
      <c r="Q69" s="13">
        <f t="shared" si="30"/>
        <v>91.063333364277469</v>
      </c>
      <c r="R69" s="13">
        <f t="shared" si="30"/>
        <v>90.147696363754505</v>
      </c>
      <c r="S69" s="13">
        <f t="shared" si="30"/>
        <v>90.763794122470699</v>
      </c>
      <c r="T69" s="13">
        <f t="shared" si="30"/>
        <v>94.484207659911561</v>
      </c>
      <c r="U69" s="13">
        <f t="shared" si="30"/>
        <v>99.896337142556533</v>
      </c>
      <c r="V69" s="13">
        <f t="shared" si="30"/>
        <v>83.983314921572088</v>
      </c>
      <c r="W69" s="13">
        <f t="shared" si="30"/>
        <v>84.323700423625226</v>
      </c>
      <c r="X69" s="13">
        <f t="shared" si="30"/>
        <v>79.806784811380012</v>
      </c>
      <c r="Y69" s="13"/>
      <c r="AA69" s="5" t="s">
        <v>12</v>
      </c>
      <c r="AB69" s="5" t="s">
        <v>95</v>
      </c>
      <c r="AC69" s="7"/>
      <c r="AD69" s="5"/>
      <c r="AE69" s="5" cm="1">
        <f t="array" ref="AE69">INDEX($B$29:$Y$44, INT((ROW(A60)-1)/24) + 1, MOD(ROW(A60)-1, 24) + 1)</f>
        <v>0</v>
      </c>
      <c r="AF69" s="5" cm="1">
        <f t="array" ref="AF69">INDEX($B$48:$Y$63, INT((ROW(A60)-1)/24) + 1, MOD(ROW(A60)-1, 24) + 1)</f>
        <v>805</v>
      </c>
    </row>
    <row r="70" spans="1:32" x14ac:dyDescent="0.2">
      <c r="A70" s="16" t="s">
        <v>14</v>
      </c>
      <c r="B70" s="13">
        <f t="shared" si="29"/>
        <v>0.77267508966063558</v>
      </c>
      <c r="C70" s="13">
        <f t="shared" si="29"/>
        <v>1.2900610527814136</v>
      </c>
      <c r="D70" s="13">
        <f t="shared" si="29"/>
        <v>1.8346778560664432</v>
      </c>
      <c r="E70" s="13">
        <f t="shared" si="29"/>
        <v>2.3486599641666897</v>
      </c>
      <c r="F70" s="13">
        <f t="shared" si="29"/>
        <v>30.821907210912137</v>
      </c>
      <c r="G70" s="13">
        <f t="shared" si="29"/>
        <v>59.992944736866527</v>
      </c>
      <c r="H70" s="13">
        <f t="shared" si="29"/>
        <v>88.265364537400629</v>
      </c>
      <c r="I70" s="13">
        <f t="shared" si="29"/>
        <v>99.961010387946629</v>
      </c>
      <c r="J70" s="13">
        <f t="shared" si="29"/>
        <v>96.410789601532343</v>
      </c>
      <c r="K70" s="13">
        <f t="shared" si="29"/>
        <v>93.653667034901886</v>
      </c>
      <c r="L70" s="13">
        <f t="shared" si="29"/>
        <v>104.12052122303605</v>
      </c>
      <c r="M70" s="13"/>
      <c r="N70" s="13">
        <f t="shared" si="30"/>
        <v>39.351967892363916</v>
      </c>
      <c r="O70" s="13">
        <f t="shared" si="30"/>
        <v>83.785891330381261</v>
      </c>
      <c r="P70" s="13">
        <f t="shared" si="30"/>
        <v>89.780080021537117</v>
      </c>
      <c r="Q70" s="13">
        <f t="shared" si="30"/>
        <v>88.636384734638554</v>
      </c>
      <c r="R70" s="13">
        <f t="shared" si="30"/>
        <v>93.15670420190429</v>
      </c>
      <c r="S70" s="13">
        <f t="shared" si="30"/>
        <v>98.987507852074643</v>
      </c>
      <c r="T70" s="13">
        <f t="shared" si="30"/>
        <v>92.976299885816132</v>
      </c>
      <c r="U70" s="13">
        <f t="shared" si="30"/>
        <v>105.75437163289114</v>
      </c>
      <c r="V70" s="13">
        <f t="shared" si="30"/>
        <v>94.068937347406717</v>
      </c>
      <c r="W70" s="13">
        <f t="shared" si="30"/>
        <v>102.86449872045995</v>
      </c>
      <c r="X70" s="13">
        <f t="shared" si="30"/>
        <v>89.77667616651658</v>
      </c>
      <c r="Y70" s="13"/>
      <c r="AA70" s="5" t="s">
        <v>12</v>
      </c>
      <c r="AB70" s="5" t="s">
        <v>96</v>
      </c>
      <c r="AC70" s="7" t="str" cm="1">
        <f t="array" ref="AC70">INDEX($B$10:$Y$25, INT((ROW(A61)-1)/24) + 1, MOD(ROW(A61)-1, 24) + 1)</f>
        <v>B4</v>
      </c>
      <c r="AD70" s="5">
        <v>1</v>
      </c>
      <c r="AE70" s="5" cm="1">
        <f t="array" ref="AE70">INDEX($B$29:$Y$44, INT((ROW(A61)-1)/24) + 1, MOD(ROW(A61)-1, 24) + 1)</f>
        <v>0.1</v>
      </c>
      <c r="AF70" s="5" cm="1">
        <f t="array" ref="AF70">INDEX($B$48:$Y$63, INT((ROW(A61)-1)/24) + 1, MOD(ROW(A61)-1, 24) + 1)</f>
        <v>76940</v>
      </c>
    </row>
    <row r="71" spans="1:32" x14ac:dyDescent="0.2">
      <c r="A71" s="16" t="s">
        <v>16</v>
      </c>
      <c r="B71" s="13">
        <f t="shared" si="29"/>
        <v>-0.29953924180676622</v>
      </c>
      <c r="C71" s="13">
        <f t="shared" si="29"/>
        <v>-0.25188527151932616</v>
      </c>
      <c r="D71" s="13">
        <f t="shared" si="29"/>
        <v>-0.21103901127294897</v>
      </c>
      <c r="E71" s="13">
        <f t="shared" si="29"/>
        <v>-0.19061588114976033</v>
      </c>
      <c r="F71" s="13">
        <f t="shared" si="29"/>
        <v>-8.8500230533817295E-2</v>
      </c>
      <c r="G71" s="13">
        <f t="shared" si="29"/>
        <v>0.34719321209420634</v>
      </c>
      <c r="H71" s="13">
        <f t="shared" si="29"/>
        <v>1.3206957479661965</v>
      </c>
      <c r="I71" s="13">
        <f t="shared" si="29"/>
        <v>17.359660604710317</v>
      </c>
      <c r="J71" s="13">
        <f t="shared" si="29"/>
        <v>49.74734112506691</v>
      </c>
      <c r="K71" s="13">
        <f t="shared" si="29"/>
        <v>84.466662334487538</v>
      </c>
      <c r="L71" s="13">
        <f t="shared" si="29"/>
        <v>60.455869019658806</v>
      </c>
      <c r="M71" s="13"/>
      <c r="N71" s="13">
        <f t="shared" si="30"/>
        <v>51.922404483186504</v>
      </c>
      <c r="O71" s="13">
        <f t="shared" si="30"/>
        <v>93.446031878649478</v>
      </c>
      <c r="P71" s="13">
        <f t="shared" si="30"/>
        <v>94.548880905301658</v>
      </c>
      <c r="Q71" s="13">
        <f t="shared" si="30"/>
        <v>103.33423071329328</v>
      </c>
      <c r="R71" s="13">
        <f t="shared" si="30"/>
        <v>98.085486271633812</v>
      </c>
      <c r="S71" s="13">
        <f t="shared" si="30"/>
        <v>98.235255892537197</v>
      </c>
      <c r="T71" s="13">
        <f t="shared" si="30"/>
        <v>105.06338906372325</v>
      </c>
      <c r="U71" s="13">
        <f t="shared" si="30"/>
        <v>96.747771248564959</v>
      </c>
      <c r="V71" s="13">
        <f t="shared" si="30"/>
        <v>100.41712696069784</v>
      </c>
      <c r="W71" s="13">
        <f t="shared" si="30"/>
        <v>97.537465613328251</v>
      </c>
      <c r="X71" s="13">
        <f t="shared" si="30"/>
        <v>90.702524732101125</v>
      </c>
      <c r="Y71" s="13"/>
      <c r="AA71" s="5" t="s">
        <v>12</v>
      </c>
      <c r="AB71" s="5" t="s">
        <v>97</v>
      </c>
      <c r="AC71" s="7" t="str" cm="1">
        <f t="array" ref="AC71">INDEX($B$10:$Y$25, INT((ROW(A62)-1)/24) + 1, MOD(ROW(A62)-1, 24) + 1)</f>
        <v>B4</v>
      </c>
      <c r="AD71" s="5">
        <v>1</v>
      </c>
      <c r="AE71" s="5" cm="1">
        <f t="array" ref="AE71">INDEX($B$29:$Y$44, INT((ROW(A62)-1)/24) + 1, MOD(ROW(A62)-1, 24) + 1)</f>
        <v>3.3333333333333333E-2</v>
      </c>
      <c r="AF71" s="5" cm="1">
        <f t="array" ref="AF71">INDEX($B$48:$Y$63, INT((ROW(A62)-1)/24) + 1, MOD(ROW(A62)-1, 24) + 1)</f>
        <v>137935</v>
      </c>
    </row>
    <row r="72" spans="1:32" x14ac:dyDescent="0.2">
      <c r="A72" s="16" t="s">
        <v>20</v>
      </c>
      <c r="B72" s="13">
        <f t="shared" si="29"/>
        <v>5.7865535349034387E-2</v>
      </c>
      <c r="C72" s="13">
        <f t="shared" si="29"/>
        <v>0.1293464907801945</v>
      </c>
      <c r="D72" s="13">
        <f t="shared" si="29"/>
        <v>0.1667888960060403</v>
      </c>
      <c r="E72" s="13">
        <f t="shared" si="29"/>
        <v>0.26550069160145184</v>
      </c>
      <c r="F72" s="13">
        <f t="shared" si="29"/>
        <v>8.8500230533817295E-2</v>
      </c>
      <c r="G72" s="13">
        <f t="shared" si="29"/>
        <v>0.40505874744324072</v>
      </c>
      <c r="H72" s="13">
        <f t="shared" si="29"/>
        <v>1.2798494877198192</v>
      </c>
      <c r="I72" s="13">
        <f t="shared" si="29"/>
        <v>11.794357646141421</v>
      </c>
      <c r="J72" s="13">
        <f t="shared" si="29"/>
        <v>53.39286985205608</v>
      </c>
      <c r="K72" s="13">
        <f t="shared" si="29"/>
        <v>78.383973412797872</v>
      </c>
      <c r="L72" s="13">
        <f t="shared" si="29"/>
        <v>43.708902318644149</v>
      </c>
      <c r="M72" s="13"/>
      <c r="N72" s="13">
        <f t="shared" si="30"/>
        <v>52.684868007785546</v>
      </c>
      <c r="O72" s="13">
        <f t="shared" si="30"/>
        <v>92.315952011833033</v>
      </c>
      <c r="P72" s="13">
        <f t="shared" si="30"/>
        <v>95.607479816686919</v>
      </c>
      <c r="Q72" s="13">
        <f t="shared" si="30"/>
        <v>100.60433898682707</v>
      </c>
      <c r="R72" s="13">
        <f t="shared" si="30"/>
        <v>89.252482493354748</v>
      </c>
      <c r="S72" s="13">
        <f t="shared" si="30"/>
        <v>105.17231242438025</v>
      </c>
      <c r="T72" s="13">
        <f t="shared" si="30"/>
        <v>98.52458356928237</v>
      </c>
      <c r="U72" s="13">
        <f t="shared" si="30"/>
        <v>102.40838214770874</v>
      </c>
      <c r="V72" s="13">
        <f t="shared" si="30"/>
        <v>110.23044098488997</v>
      </c>
      <c r="W72" s="13">
        <f t="shared" si="30"/>
        <v>101.85014992434158</v>
      </c>
      <c r="X72" s="13">
        <f t="shared" si="30"/>
        <v>95.484941035947799</v>
      </c>
      <c r="Y72" s="13"/>
      <c r="AA72" s="5" t="s">
        <v>12</v>
      </c>
      <c r="AB72" s="5" t="s">
        <v>98</v>
      </c>
      <c r="AC72" s="7" t="str" cm="1">
        <f t="array" ref="AC72">INDEX($B$10:$Y$25, INT((ROW(A63)-1)/24) + 1, MOD(ROW(A63)-1, 24) + 1)</f>
        <v>B4</v>
      </c>
      <c r="AD72" s="5">
        <v>1</v>
      </c>
      <c r="AE72" s="5" cm="1">
        <f t="array" ref="AE72">INDEX($B$29:$Y$44, INT((ROW(A63)-1)/24) + 1, MOD(ROW(A63)-1, 24) + 1)</f>
        <v>1.1111111111111112E-2</v>
      </c>
      <c r="AF72" s="5" cm="1">
        <f t="array" ref="AF72">INDEX($B$48:$Y$63, INT((ROW(A63)-1)/24) + 1, MOD(ROW(A63)-1, 24) + 1)</f>
        <v>139555</v>
      </c>
    </row>
    <row r="73" spans="1:32" x14ac:dyDescent="0.2">
      <c r="A73" s="16" t="s">
        <v>22</v>
      </c>
      <c r="B73" s="13">
        <f t="shared" si="29"/>
        <v>103.00405677630174</v>
      </c>
      <c r="C73" s="13">
        <f t="shared" si="29"/>
        <v>100.71326234748408</v>
      </c>
      <c r="D73" s="13">
        <f t="shared" si="29"/>
        <v>105.04636978862061</v>
      </c>
      <c r="E73" s="13">
        <f t="shared" si="29"/>
        <v>104.21923301863146</v>
      </c>
      <c r="F73" s="13">
        <f t="shared" si="29"/>
        <v>102.44242069791405</v>
      </c>
      <c r="G73" s="13">
        <f t="shared" si="29"/>
        <v>106.3023922911967</v>
      </c>
      <c r="H73" s="13">
        <f t="shared" si="29"/>
        <v>98.837738231171258</v>
      </c>
      <c r="I73" s="13">
        <f t="shared" si="29"/>
        <v>100.83239727320267</v>
      </c>
      <c r="J73" s="13">
        <f t="shared" si="29"/>
        <v>96.77500208872921</v>
      </c>
      <c r="K73" s="13">
        <f t="shared" si="29"/>
        <v>99.624028740914028</v>
      </c>
      <c r="L73" s="13">
        <f t="shared" si="29"/>
        <v>101.30553312105654</v>
      </c>
      <c r="M73" s="13"/>
      <c r="N73" s="13">
        <f t="shared" si="30"/>
        <v>67.883080674458398</v>
      </c>
      <c r="O73" s="13">
        <f t="shared" si="30"/>
        <v>107.53799166364961</v>
      </c>
      <c r="P73" s="13">
        <f t="shared" si="30"/>
        <v>99.916760272679724</v>
      </c>
      <c r="Q73" s="13">
        <f t="shared" si="30"/>
        <v>102.59559417383797</v>
      </c>
      <c r="R73" s="13">
        <f t="shared" si="30"/>
        <v>102.94278738593216</v>
      </c>
      <c r="S73" s="13">
        <f t="shared" si="30"/>
        <v>105.93817980399984</v>
      </c>
      <c r="T73" s="13">
        <f t="shared" si="30"/>
        <v>102.64665199914593</v>
      </c>
      <c r="U73" s="13">
        <f t="shared" si="30"/>
        <v>107.34056807245878</v>
      </c>
      <c r="V73" s="13">
        <f t="shared" si="30"/>
        <v>106.6700086334141</v>
      </c>
      <c r="W73" s="13">
        <f t="shared" si="30"/>
        <v>93.667282454984019</v>
      </c>
      <c r="X73" s="13">
        <f t="shared" si="30"/>
        <v>97.377484427363285</v>
      </c>
      <c r="Y73" s="13"/>
      <c r="AA73" s="5" t="s">
        <v>12</v>
      </c>
      <c r="AB73" s="5" t="s">
        <v>99</v>
      </c>
      <c r="AC73" s="7" t="str" cm="1">
        <f t="array" ref="AC73">INDEX($B$10:$Y$25, INT((ROW(A64)-1)/24) + 1, MOD(ROW(A64)-1, 24) + 1)</f>
        <v>B4</v>
      </c>
      <c r="AD73" s="5">
        <v>1</v>
      </c>
      <c r="AE73" s="5" cm="1">
        <f t="array" ref="AE73">INDEX($B$29:$Y$44, INT((ROW(A64)-1)/24) + 1, MOD(ROW(A64)-1, 24) + 1)</f>
        <v>3.7037037037037038E-3</v>
      </c>
      <c r="AF73" s="5" cm="1">
        <f t="array" ref="AF73">INDEX($B$48:$Y$63, INT((ROW(A64)-1)/24) + 1, MOD(ROW(A64)-1, 24) + 1)</f>
        <v>152460</v>
      </c>
    </row>
    <row r="74" spans="1:32" x14ac:dyDescent="0.2">
      <c r="A74" s="16" t="s">
        <v>26</v>
      </c>
      <c r="B74" s="13">
        <f t="shared" si="29"/>
        <v>100.81537799810003</v>
      </c>
      <c r="C74" s="13">
        <f t="shared" si="29"/>
        <v>96.015942419150704</v>
      </c>
      <c r="D74" s="13">
        <f t="shared" si="29"/>
        <v>100.93110906879809</v>
      </c>
      <c r="E74" s="13">
        <f t="shared" si="29"/>
        <v>101.353187091344</v>
      </c>
      <c r="F74" s="13">
        <f t="shared" si="29"/>
        <v>99.593394045729241</v>
      </c>
      <c r="G74" s="13">
        <f t="shared" si="29"/>
        <v>100.24353035465074</v>
      </c>
      <c r="H74" s="13">
        <f t="shared" si="29"/>
        <v>103.77332801094184</v>
      </c>
      <c r="I74" s="13">
        <f t="shared" si="29"/>
        <v>101.66974560825341</v>
      </c>
      <c r="J74" s="13">
        <f t="shared" si="29"/>
        <v>101.62889934800702</v>
      </c>
      <c r="K74" s="13">
        <f t="shared" si="29"/>
        <v>96.318885515977996</v>
      </c>
      <c r="L74" s="13">
        <f t="shared" si="29"/>
        <v>103.97755931217372</v>
      </c>
      <c r="M74" s="13"/>
      <c r="N74" s="13">
        <f t="shared" si="30"/>
        <v>63.471684567849664</v>
      </c>
      <c r="O74" s="13">
        <f t="shared" si="30"/>
        <v>95.917230623555298</v>
      </c>
      <c r="P74" s="13">
        <f t="shared" si="30"/>
        <v>103.01426834136333</v>
      </c>
      <c r="Q74" s="13">
        <f t="shared" si="30"/>
        <v>103.87203980653726</v>
      </c>
      <c r="R74" s="13">
        <f t="shared" si="30"/>
        <v>97.2277148064599</v>
      </c>
      <c r="S74" s="13">
        <f t="shared" si="30"/>
        <v>97.231118661480423</v>
      </c>
      <c r="T74" s="13">
        <f t="shared" si="30"/>
        <v>95.233055764428471</v>
      </c>
      <c r="U74" s="13">
        <f t="shared" si="30"/>
        <v>102.04757351553239</v>
      </c>
      <c r="V74" s="13">
        <f t="shared" si="30"/>
        <v>101.01280158929085</v>
      </c>
      <c r="W74" s="13">
        <f t="shared" si="30"/>
        <v>99.552547785482858</v>
      </c>
      <c r="X74" s="13">
        <f t="shared" si="30"/>
        <v>96.043173259314955</v>
      </c>
      <c r="Y74" s="13"/>
      <c r="AA74" s="5" t="s">
        <v>12</v>
      </c>
      <c r="AB74" s="5" t="s">
        <v>100</v>
      </c>
      <c r="AC74" s="7" t="str" cm="1">
        <f t="array" ref="AC74">INDEX($B$10:$Y$25, INT((ROW(A65)-1)/24) + 1, MOD(ROW(A65)-1, 24) + 1)</f>
        <v>B4</v>
      </c>
      <c r="AD74" s="5">
        <v>1</v>
      </c>
      <c r="AE74" s="5" cm="1">
        <f t="array" ref="AE74">INDEX($B$29:$Y$44, INT((ROW(A65)-1)/24) + 1, MOD(ROW(A65)-1, 24) + 1)</f>
        <v>1.2345679012345679E-3</v>
      </c>
      <c r="AF74" s="5" cm="1">
        <f t="array" ref="AF74">INDEX($B$48:$Y$63, INT((ROW(A65)-1)/24) + 1, MOD(ROW(A65)-1, 24) + 1)</f>
        <v>144750</v>
      </c>
    </row>
    <row r="75" spans="1:32" x14ac:dyDescent="0.2">
      <c r="A75" s="16" t="s">
        <v>28</v>
      </c>
      <c r="B75" s="13">
        <f t="shared" si="29"/>
        <v>90.518716560992445</v>
      </c>
      <c r="C75" s="13">
        <f t="shared" si="29"/>
        <v>99.235989268573448</v>
      </c>
      <c r="D75" s="13">
        <f t="shared" si="29"/>
        <v>99.205354573388661</v>
      </c>
      <c r="E75" s="13">
        <f t="shared" si="29"/>
        <v>106.43173878197689</v>
      </c>
      <c r="F75" s="13">
        <f t="shared" si="29"/>
        <v>102.33349733725706</v>
      </c>
      <c r="G75" s="13">
        <f t="shared" si="29"/>
        <v>102.62963272404329</v>
      </c>
      <c r="H75" s="13">
        <f t="shared" si="29"/>
        <v>105.9143528188561</v>
      </c>
      <c r="I75" s="13">
        <f t="shared" si="29"/>
        <v>108.61701370515809</v>
      </c>
      <c r="J75" s="13">
        <f t="shared" si="29"/>
        <v>93.731955700374115</v>
      </c>
      <c r="K75" s="13">
        <f t="shared" si="29"/>
        <v>101.75824583878723</v>
      </c>
      <c r="L75" s="13">
        <f t="shared" si="29"/>
        <v>98.711795595411601</v>
      </c>
      <c r="M75" s="13"/>
      <c r="N75" s="13">
        <f t="shared" si="30"/>
        <v>-0.22805828637560613</v>
      </c>
      <c r="O75" s="13">
        <f t="shared" si="30"/>
        <v>0.38803947234058356</v>
      </c>
      <c r="P75" s="13">
        <f t="shared" si="30"/>
        <v>0.79650207480435575</v>
      </c>
      <c r="Q75" s="13">
        <f t="shared" si="30"/>
        <v>3.6012786117222575</v>
      </c>
      <c r="R75" s="13">
        <f t="shared" si="30"/>
        <v>11.208894582610014</v>
      </c>
      <c r="S75" s="13">
        <f t="shared" si="30"/>
        <v>34.2393776515257</v>
      </c>
      <c r="T75" s="13">
        <f t="shared" si="30"/>
        <v>61.875276563220417</v>
      </c>
      <c r="U75" s="13">
        <f t="shared" si="30"/>
        <v>76.32464112537636</v>
      </c>
      <c r="V75" s="13">
        <f t="shared" si="30"/>
        <v>87.298669711569701</v>
      </c>
      <c r="W75" s="13">
        <f t="shared" si="30"/>
        <v>96.76819437868815</v>
      </c>
      <c r="X75" s="13">
        <f t="shared" si="30"/>
        <v>90.13748479869291</v>
      </c>
      <c r="Y75" s="13"/>
      <c r="AA75" s="5" t="s">
        <v>12</v>
      </c>
      <c r="AB75" s="5" t="s">
        <v>101</v>
      </c>
      <c r="AC75" s="7" t="str" cm="1">
        <f t="array" ref="AC75">INDEX($B$10:$Y$25, INT((ROW(A66)-1)/24) + 1, MOD(ROW(A66)-1, 24) + 1)</f>
        <v>B4</v>
      </c>
      <c r="AD75" s="5">
        <v>1</v>
      </c>
      <c r="AE75" s="5" cm="1">
        <f t="array" ref="AE75">INDEX($B$29:$Y$44, INT((ROW(A66)-1)/24) + 1, MOD(ROW(A66)-1, 24) + 1)</f>
        <v>4.1152263374485596E-4</v>
      </c>
      <c r="AF75" s="5" cm="1">
        <f t="array" ref="AF75">INDEX($B$48:$Y$63, INT((ROW(A66)-1)/24) + 1, MOD(ROW(A66)-1, 24) + 1)</f>
        <v>144970</v>
      </c>
    </row>
    <row r="76" spans="1:32" x14ac:dyDescent="0.2">
      <c r="A76" s="16" t="s">
        <v>31</v>
      </c>
      <c r="B76" s="13">
        <f t="shared" si="29"/>
        <v>83.649737129559995</v>
      </c>
      <c r="C76" s="13">
        <f t="shared" si="29"/>
        <v>92.748241599440533</v>
      </c>
      <c r="D76" s="13">
        <f t="shared" si="29"/>
        <v>89.871984107091464</v>
      </c>
      <c r="E76" s="13">
        <f t="shared" si="29"/>
        <v>103.59973140489474</v>
      </c>
      <c r="F76" s="13">
        <f t="shared" si="29"/>
        <v>97.329830457075843</v>
      </c>
      <c r="G76" s="13">
        <f t="shared" si="29"/>
        <v>98.071870851551694</v>
      </c>
      <c r="H76" s="13">
        <f t="shared" si="29"/>
        <v>101.02982086439351</v>
      </c>
      <c r="I76" s="13">
        <f t="shared" si="29"/>
        <v>107.79668464520999</v>
      </c>
      <c r="J76" s="13">
        <f t="shared" si="29"/>
        <v>98.527987424302893</v>
      </c>
      <c r="K76" s="13">
        <f t="shared" si="29"/>
        <v>94.49782307999368</v>
      </c>
      <c r="L76" s="13">
        <f t="shared" si="29"/>
        <v>98.36460238331739</v>
      </c>
      <c r="M76" s="13"/>
      <c r="N76" s="13">
        <f t="shared" si="30"/>
        <v>-0.21444286629348036</v>
      </c>
      <c r="O76" s="13">
        <f t="shared" si="30"/>
        <v>96.274635400711091</v>
      </c>
      <c r="P76" s="13">
        <f t="shared" si="30"/>
        <v>97.922101230648309</v>
      </c>
      <c r="Q76" s="13">
        <f t="shared" si="30"/>
        <v>102.91896040078845</v>
      </c>
      <c r="R76" s="13">
        <f t="shared" si="30"/>
        <v>97.656600539046849</v>
      </c>
      <c r="S76" s="13">
        <f t="shared" si="30"/>
        <v>109.41351577996244</v>
      </c>
      <c r="T76" s="13">
        <f t="shared" si="30"/>
        <v>107.72179983475831</v>
      </c>
      <c r="U76" s="13">
        <f t="shared" si="30"/>
        <v>95.47813332590674</v>
      </c>
      <c r="V76" s="13">
        <f t="shared" si="30"/>
        <v>103.98777087723532</v>
      </c>
      <c r="W76" s="13">
        <f t="shared" si="30"/>
        <v>95.69938390224128</v>
      </c>
      <c r="X76" s="13">
        <f t="shared" si="30"/>
        <v>84.585797260206135</v>
      </c>
      <c r="Y76" s="13"/>
      <c r="AA76" s="5" t="s">
        <v>12</v>
      </c>
      <c r="AB76" s="5" t="s">
        <v>102</v>
      </c>
      <c r="AC76" s="7" t="str" cm="1">
        <f t="array" ref="AC76">INDEX($B$10:$Y$25, INT((ROW(A67)-1)/24) + 1, MOD(ROW(A67)-1, 24) + 1)</f>
        <v>B4</v>
      </c>
      <c r="AD76" s="5">
        <v>1</v>
      </c>
      <c r="AE76" s="5" cm="1">
        <f t="array" ref="AE76">INDEX($B$29:$Y$44, INT((ROW(A67)-1)/24) + 1, MOD(ROW(A67)-1, 24) + 1)</f>
        <v>1.3717421124828533E-4</v>
      </c>
      <c r="AF76" s="5" cm="1">
        <f t="array" ref="AF76">INDEX($B$48:$Y$63, INT((ROW(A67)-1)/24) + 1, MOD(ROW(A67)-1, 24) + 1)</f>
        <v>155000</v>
      </c>
    </row>
    <row r="77" spans="1:32" x14ac:dyDescent="0.2">
      <c r="A77" s="16" t="s">
        <v>33</v>
      </c>
      <c r="B77" s="13">
        <f t="shared" si="29"/>
        <v>4.3501267162391732</v>
      </c>
      <c r="C77" s="13">
        <f t="shared" si="29"/>
        <v>15.017808350584689</v>
      </c>
      <c r="D77" s="13">
        <f t="shared" si="29"/>
        <v>22.288442674439832</v>
      </c>
      <c r="E77" s="13">
        <f t="shared" si="29"/>
        <v>36.523364370302289</v>
      </c>
      <c r="F77" s="13">
        <f t="shared" si="29"/>
        <v>48.007971209575352</v>
      </c>
      <c r="G77" s="13">
        <f t="shared" si="29"/>
        <v>54.972258581582665</v>
      </c>
      <c r="H77" s="13">
        <f t="shared" si="29"/>
        <v>57.991477984794045</v>
      </c>
      <c r="I77" s="13">
        <f t="shared" si="29"/>
        <v>66.450057710814662</v>
      </c>
      <c r="J77" s="13">
        <f t="shared" si="29"/>
        <v>68.165600641162499</v>
      </c>
      <c r="K77" s="13">
        <f t="shared" si="29"/>
        <v>70.578933850719295</v>
      </c>
      <c r="L77" s="13">
        <f t="shared" si="29"/>
        <v>72.216188115594917</v>
      </c>
      <c r="M77" s="13"/>
      <c r="N77" s="13">
        <f t="shared" si="30"/>
        <v>4.0607990394940012</v>
      </c>
      <c r="O77" s="13">
        <f t="shared" si="30"/>
        <v>23.87123525898695</v>
      </c>
      <c r="P77" s="13">
        <f t="shared" si="30"/>
        <v>30.127520786723728</v>
      </c>
      <c r="Q77" s="13">
        <f t="shared" si="30"/>
        <v>46.942564588149011</v>
      </c>
      <c r="R77" s="13">
        <f t="shared" si="30"/>
        <v>65.881613922385924</v>
      </c>
      <c r="S77" s="13">
        <f t="shared" si="30"/>
        <v>75.47708122526403</v>
      </c>
      <c r="T77" s="13">
        <f t="shared" si="30"/>
        <v>94.511438500075812</v>
      </c>
      <c r="U77" s="13">
        <f t="shared" si="30"/>
        <v>96.046577114335491</v>
      </c>
      <c r="V77" s="13">
        <f t="shared" si="30"/>
        <v>100.18906867432224</v>
      </c>
      <c r="W77" s="13">
        <f t="shared" si="30"/>
        <v>93.081819391452598</v>
      </c>
      <c r="X77" s="13">
        <f t="shared" si="30"/>
        <v>93.925975436544405</v>
      </c>
      <c r="Y77" s="13"/>
      <c r="AA77" s="5" t="s">
        <v>12</v>
      </c>
      <c r="AB77" s="5" t="s">
        <v>103</v>
      </c>
      <c r="AC77" s="7" t="str" cm="1">
        <f t="array" ref="AC77">INDEX($B$10:$Y$25, INT((ROW(A68)-1)/24) + 1, MOD(ROW(A68)-1, 24) + 1)</f>
        <v>B4</v>
      </c>
      <c r="AD77" s="5">
        <v>1</v>
      </c>
      <c r="AE77" s="5" cm="1">
        <f t="array" ref="AE77">INDEX($B$29:$Y$44, INT((ROW(A68)-1)/24) + 1, MOD(ROW(A68)-1, 24) + 1)</f>
        <v>4.5724737082761774E-5</v>
      </c>
      <c r="AF77" s="5" cm="1">
        <f t="array" ref="AF77">INDEX($B$48:$Y$63, INT((ROW(A68)-1)/24) + 1, MOD(ROW(A68)-1, 24) + 1)</f>
        <v>142785</v>
      </c>
    </row>
    <row r="78" spans="1:32" x14ac:dyDescent="0.2">
      <c r="A78" s="16" t="s">
        <v>37</v>
      </c>
      <c r="B78" s="13">
        <f t="shared" si="29"/>
        <v>4.2309917905205729</v>
      </c>
      <c r="C78" s="13">
        <f t="shared" si="29"/>
        <v>5.9159000256836336</v>
      </c>
      <c r="D78" s="13">
        <f t="shared" si="29"/>
        <v>17.121390753273115</v>
      </c>
      <c r="E78" s="13">
        <f t="shared" si="29"/>
        <v>18.156162679514669</v>
      </c>
      <c r="F78" s="13">
        <f t="shared" si="29"/>
        <v>36.465498834953259</v>
      </c>
      <c r="G78" s="13">
        <f t="shared" si="29"/>
        <v>54.209795056983623</v>
      </c>
      <c r="H78" s="13">
        <f t="shared" si="29"/>
        <v>65.922460182632292</v>
      </c>
      <c r="I78" s="13">
        <f t="shared" si="29"/>
        <v>75.228599808765225</v>
      </c>
      <c r="J78" s="13">
        <f t="shared" si="29"/>
        <v>92.142355405785921</v>
      </c>
      <c r="K78" s="13">
        <f t="shared" si="29"/>
        <v>95.423671645578239</v>
      </c>
      <c r="L78" s="13">
        <f t="shared" si="29"/>
        <v>92.584856558455016</v>
      </c>
      <c r="M78" s="13"/>
      <c r="N78" s="13">
        <f t="shared" si="30"/>
        <v>4.6088196977995617</v>
      </c>
      <c r="O78" s="13">
        <f t="shared" si="30"/>
        <v>22.104634503331138</v>
      </c>
      <c r="P78" s="13">
        <f t="shared" si="30"/>
        <v>33.568818212481006</v>
      </c>
      <c r="Q78" s="13">
        <f t="shared" si="30"/>
        <v>49.229955161946137</v>
      </c>
      <c r="R78" s="13">
        <f t="shared" si="30"/>
        <v>64.904707531493386</v>
      </c>
      <c r="S78" s="13">
        <f t="shared" si="30"/>
        <v>76.375698950684324</v>
      </c>
      <c r="T78" s="13">
        <f t="shared" si="30"/>
        <v>86.423878971293121</v>
      </c>
      <c r="U78" s="13">
        <f t="shared" si="30"/>
        <v>92.152566970847531</v>
      </c>
      <c r="V78" s="13">
        <f t="shared" si="30"/>
        <v>97.023483505228</v>
      </c>
      <c r="W78" s="13">
        <f t="shared" si="30"/>
        <v>101.05364784953723</v>
      </c>
      <c r="X78" s="13">
        <f t="shared" si="30"/>
        <v>93.711532570250924</v>
      </c>
      <c r="Y78" s="13"/>
      <c r="AA78" s="5" t="s">
        <v>12</v>
      </c>
      <c r="AB78" s="5" t="s">
        <v>104</v>
      </c>
      <c r="AC78" s="7" t="str" cm="1">
        <f t="array" ref="AC78">INDEX($B$10:$Y$25, INT((ROW(A69)-1)/24) + 1, MOD(ROW(A69)-1, 24) + 1)</f>
        <v>B4</v>
      </c>
      <c r="AD78" s="5">
        <v>1</v>
      </c>
      <c r="AE78" s="5" cm="1">
        <f t="array" ref="AE78">INDEX($B$29:$Y$44, INT((ROW(A69)-1)/24) + 1, MOD(ROW(A69)-1, 24) + 1)</f>
        <v>1.5241579027587257E-5</v>
      </c>
      <c r="AF78" s="5" cm="1">
        <f t="array" ref="AF78">INDEX($B$48:$Y$63, INT((ROW(A69)-1)/24) + 1, MOD(ROW(A69)-1, 24) + 1)</f>
        <v>148175</v>
      </c>
    </row>
    <row r="79" spans="1:32" x14ac:dyDescent="0.2">
      <c r="A79" s="16" t="s">
        <v>39</v>
      </c>
      <c r="B79" s="13">
        <f t="shared" si="29"/>
        <v>3.7238173924613891</v>
      </c>
      <c r="C79" s="13">
        <f t="shared" si="29"/>
        <v>3.9042217085495552</v>
      </c>
      <c r="D79" s="13">
        <f t="shared" si="29"/>
        <v>11.86583860157258</v>
      </c>
      <c r="E79" s="13">
        <f t="shared" si="29"/>
        <v>24.405640497210385</v>
      </c>
      <c r="F79" s="13">
        <f t="shared" si="29"/>
        <v>42.109090458994373</v>
      </c>
      <c r="G79" s="13">
        <f t="shared" si="29"/>
        <v>53.192042405844731</v>
      </c>
      <c r="H79" s="13">
        <f t="shared" si="29"/>
        <v>74.486559414289374</v>
      </c>
      <c r="I79" s="13">
        <f t="shared" si="29"/>
        <v>96.019346274171241</v>
      </c>
      <c r="J79" s="13">
        <f t="shared" si="29"/>
        <v>95.457710195783548</v>
      </c>
      <c r="K79" s="13">
        <f t="shared" si="29"/>
        <v>96.529924527250941</v>
      </c>
      <c r="L79" s="13">
        <f t="shared" si="29"/>
        <v>90.811448092758141</v>
      </c>
      <c r="M79" s="13"/>
      <c r="N79" s="13">
        <f t="shared" si="30"/>
        <v>3.0634695184782911E-2</v>
      </c>
      <c r="O79" s="13">
        <f t="shared" si="30"/>
        <v>2.9477384477802224</v>
      </c>
      <c r="P79" s="13">
        <f t="shared" si="30"/>
        <v>12.60107128600737</v>
      </c>
      <c r="Q79" s="13">
        <f t="shared" si="30"/>
        <v>42.970265779188829</v>
      </c>
      <c r="R79" s="13">
        <f t="shared" si="30"/>
        <v>66.330922785096064</v>
      </c>
      <c r="S79" s="13">
        <f t="shared" si="30"/>
        <v>80.661152421533401</v>
      </c>
      <c r="T79" s="13">
        <f t="shared" si="30"/>
        <v>84.766201576294307</v>
      </c>
      <c r="U79" s="13">
        <f t="shared" si="30"/>
        <v>83.82673759062763</v>
      </c>
      <c r="V79" s="13">
        <f t="shared" si="30"/>
        <v>99.658067291119337</v>
      </c>
      <c r="W79" s="13">
        <f t="shared" si="30"/>
        <v>86.801706878572105</v>
      </c>
      <c r="X79" s="13">
        <f t="shared" si="30"/>
        <v>89.688175935982756</v>
      </c>
      <c r="Y79" s="13"/>
      <c r="AA79" s="5" t="s">
        <v>12</v>
      </c>
      <c r="AB79" s="5" t="s">
        <v>105</v>
      </c>
      <c r="AC79" s="7" t="str" cm="1">
        <f t="array" ref="AC79">INDEX($B$10:$Y$25, INT((ROW(A70)-1)/24) + 1, MOD(ROW(A70)-1, 24) + 1)</f>
        <v>B4</v>
      </c>
      <c r="AD79" s="5">
        <v>1</v>
      </c>
      <c r="AE79" s="5" cm="1">
        <f t="array" ref="AE79">INDEX($B$29:$Y$44, INT((ROW(A70)-1)/24) + 1, MOD(ROW(A70)-1, 24) + 1)</f>
        <v>5.0805263425290855E-6</v>
      </c>
      <c r="AF79" s="5" cm="1">
        <f t="array" ref="AF79">INDEX($B$48:$Y$63, INT((ROW(A70)-1)/24) + 1, MOD(ROW(A70)-1, 24) + 1)</f>
        <v>143945</v>
      </c>
    </row>
    <row r="80" spans="1:32" x14ac:dyDescent="0.2">
      <c r="A80" s="16" t="s">
        <v>43</v>
      </c>
      <c r="B80" s="13">
        <f t="shared" si="29"/>
        <v>2.2737751537149982</v>
      </c>
      <c r="C80" s="13">
        <f t="shared" si="29"/>
        <v>7.8901359375918645</v>
      </c>
      <c r="D80" s="13">
        <f t="shared" si="29"/>
        <v>15.715598629793634</v>
      </c>
      <c r="E80" s="13">
        <f t="shared" si="29"/>
        <v>29.685019634054637</v>
      </c>
      <c r="F80" s="13">
        <f t="shared" si="29"/>
        <v>44.498596683407442</v>
      </c>
      <c r="G80" s="13">
        <f t="shared" si="29"/>
        <v>60.520542265048903</v>
      </c>
      <c r="H80" s="13">
        <f t="shared" si="29"/>
        <v>75.664293251393261</v>
      </c>
      <c r="I80" s="13">
        <f t="shared" si="29"/>
        <v>93.752378830497292</v>
      </c>
      <c r="J80" s="13">
        <f t="shared" si="29"/>
        <v>90.559562821238814</v>
      </c>
      <c r="K80" s="13">
        <f t="shared" si="29"/>
        <v>97.479600077979228</v>
      </c>
      <c r="L80" s="13">
        <f t="shared" si="29"/>
        <v>96.819252203996115</v>
      </c>
      <c r="M80" s="13"/>
      <c r="N80" s="13">
        <f t="shared" si="30"/>
        <v>-9.87117955954116E-2</v>
      </c>
      <c r="O80" s="13">
        <f t="shared" si="30"/>
        <v>6.372016598434846</v>
      </c>
      <c r="P80" s="13">
        <f t="shared" si="30"/>
        <v>16.004926306538806</v>
      </c>
      <c r="Q80" s="13">
        <f t="shared" si="30"/>
        <v>28.605997592546174</v>
      </c>
      <c r="R80" s="13">
        <f t="shared" si="30"/>
        <v>49.270801422192513</v>
      </c>
      <c r="S80" s="13">
        <f t="shared" si="30"/>
        <v>74.003212001373925</v>
      </c>
      <c r="T80" s="13">
        <f t="shared" si="30"/>
        <v>79.010282736575661</v>
      </c>
      <c r="U80" s="13">
        <f t="shared" si="30"/>
        <v>88.340249347852321</v>
      </c>
      <c r="V80" s="13">
        <f t="shared" si="30"/>
        <v>95.556421991378954</v>
      </c>
      <c r="W80" s="13">
        <f t="shared" si="30"/>
        <v>95.981903868945381</v>
      </c>
      <c r="X80" s="13">
        <f t="shared" si="30"/>
        <v>88.057729381148206</v>
      </c>
      <c r="Y80" s="13"/>
      <c r="AA80" s="5" t="s">
        <v>12</v>
      </c>
      <c r="AB80" s="5" t="s">
        <v>106</v>
      </c>
      <c r="AC80" s="7" t="str" cm="1">
        <f t="array" ref="AC80">INDEX($B$10:$Y$25, INT((ROW(A71)-1)/24) + 1, MOD(ROW(A71)-1, 24) + 1)</f>
        <v>B4</v>
      </c>
      <c r="AD80" s="5">
        <v>1</v>
      </c>
      <c r="AE80" s="5" cm="1">
        <f t="array" ref="AE80">INDEX($B$29:$Y$44, INT((ROW(A71)-1)/24) + 1, MOD(ROW(A71)-1, 24) + 1)</f>
        <v>1.6935087808430284E-6</v>
      </c>
      <c r="AF80" s="5" cm="1">
        <f t="array" ref="AF80">INDEX($B$48:$Y$63, INT((ROW(A71)-1)/24) + 1, MOD(ROW(A71)-1, 24) + 1)</f>
        <v>133905</v>
      </c>
    </row>
    <row r="81" spans="1:32" x14ac:dyDescent="0.2">
      <c r="A81" s="16" t="s">
        <v>45</v>
      </c>
      <c r="B81" s="13">
        <f t="shared" si="29"/>
        <v>70.592549270801413</v>
      </c>
      <c r="C81" s="13">
        <f t="shared" si="29"/>
        <v>107.19079845155539</v>
      </c>
      <c r="D81" s="13">
        <f t="shared" si="29"/>
        <v>103.10617242691768</v>
      </c>
      <c r="E81" s="13">
        <f t="shared" si="29"/>
        <v>99.916760272679724</v>
      </c>
      <c r="F81" s="13">
        <f t="shared" si="29"/>
        <v>106.51343130246964</v>
      </c>
      <c r="G81" s="13">
        <f t="shared" si="29"/>
        <v>115.71405142296611</v>
      </c>
      <c r="H81" s="13">
        <f t="shared" si="29"/>
        <v>108.40597469388513</v>
      </c>
      <c r="I81" s="13">
        <f t="shared" si="29"/>
        <v>104.04563641258436</v>
      </c>
      <c r="J81" s="13">
        <f t="shared" si="29"/>
        <v>104.28731011904209</v>
      </c>
      <c r="K81" s="13">
        <f t="shared" si="29"/>
        <v>104.05925183266649</v>
      </c>
      <c r="L81" s="13">
        <f t="shared" si="29"/>
        <v>95.454306340763011</v>
      </c>
      <c r="M81" s="13"/>
      <c r="N81" s="13">
        <f t="shared" si="30"/>
        <v>19.623224193363718</v>
      </c>
      <c r="O81" s="13">
        <f t="shared" si="30"/>
        <v>79.844227216605859</v>
      </c>
      <c r="P81" s="13">
        <f t="shared" si="30"/>
        <v>79.13962922735584</v>
      </c>
      <c r="Q81" s="13">
        <f t="shared" si="30"/>
        <v>89.613291125531063</v>
      </c>
      <c r="R81" s="13">
        <f t="shared" si="30"/>
        <v>95.410056225496106</v>
      </c>
      <c r="S81" s="13">
        <f t="shared" si="30"/>
        <v>100.96855147402395</v>
      </c>
      <c r="T81" s="13">
        <f t="shared" si="30"/>
        <v>103.38869239362178</v>
      </c>
      <c r="U81" s="13">
        <f t="shared" si="30"/>
        <v>106.35685397152518</v>
      </c>
      <c r="V81" s="13">
        <f t="shared" si="30"/>
        <v>104.18519446842613</v>
      </c>
      <c r="W81" s="13">
        <f t="shared" si="30"/>
        <v>97.663408249087908</v>
      </c>
      <c r="X81" s="13">
        <f t="shared" si="30"/>
        <v>87.972633005634933</v>
      </c>
      <c r="Y81" s="13"/>
      <c r="AA81" s="5" t="s">
        <v>12</v>
      </c>
      <c r="AB81" s="5" t="s">
        <v>107</v>
      </c>
      <c r="AC81" s="7"/>
      <c r="AD81" s="5"/>
      <c r="AE81" s="5" cm="1">
        <f t="array" ref="AE81">INDEX($B$29:$Y$44, INT((ROW(A72)-1)/24) + 1, MOD(ROW(A72)-1, 24) + 1)</f>
        <v>0</v>
      </c>
      <c r="AF81" s="5" cm="1">
        <f t="array" ref="AF81">INDEX($B$48:$Y$63, INT((ROW(A72)-1)/24) + 1, MOD(ROW(A72)-1, 24) + 1)</f>
        <v>735</v>
      </c>
    </row>
    <row r="82" spans="1:32" x14ac:dyDescent="0.2">
      <c r="A82" s="16" t="s">
        <v>48</v>
      </c>
      <c r="B82" s="13">
        <f t="shared" si="29"/>
        <v>70.435971939856969</v>
      </c>
      <c r="C82" s="13">
        <f t="shared" si="29"/>
        <v>103.96734774711214</v>
      </c>
      <c r="D82" s="13">
        <f t="shared" si="29"/>
        <v>106.65639321333195</v>
      </c>
      <c r="E82" s="13">
        <f t="shared" si="29"/>
        <v>105.16210085931867</v>
      </c>
      <c r="F82" s="13">
        <f t="shared" si="29"/>
        <v>105.19273555450346</v>
      </c>
      <c r="G82" s="13">
        <f t="shared" si="29"/>
        <v>113.09989076719798</v>
      </c>
      <c r="H82" s="13">
        <f t="shared" si="29"/>
        <v>103.53505815950463</v>
      </c>
      <c r="I82" s="13">
        <f t="shared" si="29"/>
        <v>102.47986310313991</v>
      </c>
      <c r="J82" s="13">
        <f t="shared" si="29"/>
        <v>104.87617703759402</v>
      </c>
      <c r="K82" s="13">
        <f t="shared" si="29"/>
        <v>102.33690119227758</v>
      </c>
      <c r="L82" s="13">
        <f t="shared" si="29"/>
        <v>107.39502975278729</v>
      </c>
      <c r="M82" s="13"/>
      <c r="N82" s="13">
        <f t="shared" si="30"/>
        <v>22.625424321472444</v>
      </c>
      <c r="O82" s="13">
        <f t="shared" si="30"/>
        <v>78.966032621308742</v>
      </c>
      <c r="P82" s="13">
        <f t="shared" si="30"/>
        <v>82.962158415412645</v>
      </c>
      <c r="Q82" s="13">
        <f t="shared" si="30"/>
        <v>99.419797439682128</v>
      </c>
      <c r="R82" s="13">
        <f t="shared" si="30"/>
        <v>98.020813026243715</v>
      </c>
      <c r="S82" s="13">
        <f t="shared" si="30"/>
        <v>89.667752805859578</v>
      </c>
      <c r="T82" s="13">
        <f t="shared" si="30"/>
        <v>98.575641394590335</v>
      </c>
      <c r="U82" s="13">
        <f t="shared" si="30"/>
        <v>104.87958089261456</v>
      </c>
      <c r="V82" s="13">
        <f t="shared" si="30"/>
        <v>101.72080343356139</v>
      </c>
      <c r="W82" s="13">
        <f t="shared" si="30"/>
        <v>109.49861215547571</v>
      </c>
      <c r="X82" s="13">
        <f t="shared" si="30"/>
        <v>102.21095855651792</v>
      </c>
      <c r="Y82" s="13"/>
      <c r="AA82" s="5" t="s">
        <v>12</v>
      </c>
      <c r="AB82" s="5" t="s">
        <v>108</v>
      </c>
      <c r="AC82" s="7" t="str" cm="1">
        <f t="array" ref="AC82">INDEX($B$10:$Y$25, INT((ROW(A73)-1)/24) + 1, MOD(ROW(A73)-1, 24) + 1)</f>
        <v>GNF179</v>
      </c>
      <c r="AD82" s="5">
        <v>1</v>
      </c>
      <c r="AE82" s="5" cm="1">
        <f t="array" ref="AE82">INDEX($B$29:$Y$44, INT((ROW(A73)-1)/24) + 1, MOD(ROW(A73)-1, 24) + 1)</f>
        <v>2</v>
      </c>
      <c r="AF82" s="5" cm="1">
        <f t="array" ref="AF82">INDEX($B$48:$Y$63, INT((ROW(A73)-1)/24) + 1, MOD(ROW(A73)-1, 24) + 1)</f>
        <v>755</v>
      </c>
    </row>
    <row r="83" spans="1:32" x14ac:dyDescent="0.2">
      <c r="A83" s="16" t="s">
        <v>50</v>
      </c>
      <c r="B83" s="13">
        <f t="shared" si="29"/>
        <v>0.80671363986595002</v>
      </c>
      <c r="C83" s="13">
        <f t="shared" si="29"/>
        <v>2.1512363729758666</v>
      </c>
      <c r="D83" s="13">
        <f t="shared" si="29"/>
        <v>3.9791065190012471</v>
      </c>
      <c r="E83" s="13">
        <f t="shared" si="29"/>
        <v>8.4619835810411459</v>
      </c>
      <c r="F83" s="13">
        <f t="shared" si="29"/>
        <v>12.628302126171622</v>
      </c>
      <c r="G83" s="13">
        <f t="shared" si="29"/>
        <v>15.249270491980827</v>
      </c>
      <c r="H83" s="13">
        <f t="shared" si="29"/>
        <v>24.252467021286471</v>
      </c>
      <c r="I83" s="13">
        <f t="shared" si="29"/>
        <v>37.912137218679113</v>
      </c>
      <c r="J83" s="13">
        <f t="shared" si="29"/>
        <v>57.041802434065779</v>
      </c>
      <c r="K83" s="13">
        <f t="shared" si="29"/>
        <v>66.708750692375048</v>
      </c>
      <c r="L83" s="13">
        <f t="shared" si="29"/>
        <v>79.197494762704892</v>
      </c>
      <c r="M83" s="13"/>
      <c r="N83" s="13">
        <f t="shared" si="30"/>
        <v>3.815721478015738</v>
      </c>
      <c r="O83" s="13">
        <f t="shared" si="30"/>
        <v>44.039076255635699</v>
      </c>
      <c r="P83" s="13">
        <f t="shared" si="30"/>
        <v>57.065629419209493</v>
      </c>
      <c r="Q83" s="13">
        <f t="shared" si="30"/>
        <v>62.869202229215595</v>
      </c>
      <c r="R83" s="13">
        <f t="shared" si="30"/>
        <v>80.031439242735075</v>
      </c>
      <c r="S83" s="13">
        <f t="shared" si="30"/>
        <v>78.775416740158988</v>
      </c>
      <c r="T83" s="13">
        <f t="shared" si="30"/>
        <v>84.150103817578128</v>
      </c>
      <c r="U83" s="13">
        <f t="shared" si="30"/>
        <v>93.245204432438115</v>
      </c>
      <c r="V83" s="13">
        <f t="shared" si="30"/>
        <v>90.634447631690506</v>
      </c>
      <c r="W83" s="13">
        <f t="shared" si="30"/>
        <v>85.930319993316061</v>
      </c>
      <c r="X83" s="13">
        <f t="shared" si="30"/>
        <v>91.424141996453798</v>
      </c>
      <c r="Y83" s="13"/>
      <c r="AA83" s="5" t="s">
        <v>12</v>
      </c>
      <c r="AB83" s="5" t="s">
        <v>109</v>
      </c>
      <c r="AC83" s="7" t="str" cm="1">
        <f t="array" ref="AC83">INDEX($B$10:$Y$25, INT((ROW(A74)-1)/24) + 1, MOD(ROW(A74)-1, 24) + 1)</f>
        <v>GNF179</v>
      </c>
      <c r="AD83" s="5">
        <v>1</v>
      </c>
      <c r="AE83" s="5" cm="1">
        <f t="array" ref="AE83">INDEX($B$29:$Y$44, INT((ROW(A74)-1)/24) + 1, MOD(ROW(A74)-1, 24) + 1)</f>
        <v>0.66666666666666663</v>
      </c>
      <c r="AF83" s="5" cm="1">
        <f t="array" ref="AF83">INDEX($B$48:$Y$63, INT((ROW(A74)-1)/24) + 1, MOD(ROW(A74)-1, 24) + 1)</f>
        <v>860</v>
      </c>
    </row>
    <row r="84" spans="1:32" x14ac:dyDescent="0.2">
      <c r="A84" s="16" t="s">
        <v>53</v>
      </c>
      <c r="B84" s="13">
        <f t="shared" si="29"/>
        <v>0.17019275102657172</v>
      </c>
      <c r="C84" s="13">
        <f t="shared" si="29"/>
        <v>1.7155429303478429</v>
      </c>
      <c r="D84" s="13">
        <f t="shared" si="29"/>
        <v>3.0192194032113826</v>
      </c>
      <c r="E84" s="13">
        <f t="shared" si="29"/>
        <v>6.6307095799952336</v>
      </c>
      <c r="F84" s="13">
        <f t="shared" si="29"/>
        <v>13.084418698922834</v>
      </c>
      <c r="G84" s="13">
        <f t="shared" si="29"/>
        <v>15.824521990450638</v>
      </c>
      <c r="H84" s="13">
        <f t="shared" si="29"/>
        <v>18.98670330452434</v>
      </c>
      <c r="I84" s="13">
        <f t="shared" si="29"/>
        <v>26.492203624796158</v>
      </c>
      <c r="J84" s="13">
        <f t="shared" si="29"/>
        <v>28.874902139168157</v>
      </c>
      <c r="K84" s="13">
        <f t="shared" si="29"/>
        <v>43.123439255112743</v>
      </c>
      <c r="L84" s="13">
        <f t="shared" si="29"/>
        <v>48.236029495950952</v>
      </c>
      <c r="M84" s="13"/>
      <c r="N84" s="13">
        <f t="shared" si="30"/>
        <v>6.1575737321413655</v>
      </c>
      <c r="O84" s="13">
        <f t="shared" si="30"/>
        <v>37.581963281687571</v>
      </c>
      <c r="P84" s="13">
        <f t="shared" si="30"/>
        <v>56.555051166129786</v>
      </c>
      <c r="Q84" s="13">
        <f t="shared" si="30"/>
        <v>70.994204163224126</v>
      </c>
      <c r="R84" s="13">
        <f t="shared" si="30"/>
        <v>74.912041291855815</v>
      </c>
      <c r="S84" s="13">
        <f t="shared" si="30"/>
        <v>81.757193738144522</v>
      </c>
      <c r="T84" s="13">
        <f t="shared" si="30"/>
        <v>80.657748566512865</v>
      </c>
      <c r="U84" s="13">
        <f t="shared" si="30"/>
        <v>87.642459068643376</v>
      </c>
      <c r="V84" s="13">
        <f t="shared" si="30"/>
        <v>86.001800948747217</v>
      </c>
      <c r="W84" s="13">
        <f t="shared" si="30"/>
        <v>83.973103356510492</v>
      </c>
      <c r="X84" s="13">
        <f t="shared" si="30"/>
        <v>88.006671555840228</v>
      </c>
      <c r="Y84" s="13"/>
      <c r="AA84" s="5" t="s">
        <v>12</v>
      </c>
      <c r="AB84" s="5" t="s">
        <v>110</v>
      </c>
      <c r="AC84" s="7" t="str" cm="1">
        <f t="array" ref="AC84">INDEX($B$10:$Y$25, INT((ROW(A75)-1)/24) + 1, MOD(ROW(A75)-1, 24) + 1)</f>
        <v>GNF179</v>
      </c>
      <c r="AD84" s="5">
        <v>1</v>
      </c>
      <c r="AE84" s="5" cm="1">
        <f t="array" ref="AE84">INDEX($B$29:$Y$44, INT((ROW(A75)-1)/24) + 1, MOD(ROW(A75)-1, 24) + 1)</f>
        <v>0.22222222222222221</v>
      </c>
      <c r="AF84" s="5" cm="1">
        <f t="array" ref="AF84">INDEX($B$48:$Y$63, INT((ROW(A75)-1)/24) + 1, MOD(ROW(A75)-1, 24) + 1)</f>
        <v>915</v>
      </c>
    </row>
    <row r="85" spans="1:32" x14ac:dyDescent="0.2">
      <c r="AA85" s="5" t="s">
        <v>12</v>
      </c>
      <c r="AB85" s="5" t="s">
        <v>111</v>
      </c>
      <c r="AC85" s="7" t="str" cm="1">
        <f t="array" ref="AC85">INDEX($B$10:$Y$25, INT((ROW(A76)-1)/24) + 1, MOD(ROW(A76)-1, 24) + 1)</f>
        <v>GNF179</v>
      </c>
      <c r="AD85" s="5">
        <v>1</v>
      </c>
      <c r="AE85" s="5" cm="1">
        <f t="array" ref="AE85">INDEX($B$29:$Y$44, INT((ROW(A76)-1)/24) + 1, MOD(ROW(A76)-1, 24) + 1)</f>
        <v>7.407407407407407E-2</v>
      </c>
      <c r="AF85" s="5" cm="1">
        <f t="array" ref="AF85">INDEX($B$48:$Y$63, INT((ROW(A76)-1)/24) + 1, MOD(ROW(A76)-1, 24) + 1)</f>
        <v>1060</v>
      </c>
    </row>
    <row r="86" spans="1:32" x14ac:dyDescent="0.2">
      <c r="A86" s="10" t="s">
        <v>112</v>
      </c>
      <c r="B86" s="11">
        <v>1</v>
      </c>
      <c r="C86" s="12">
        <v>2</v>
      </c>
      <c r="D86" s="12">
        <v>3</v>
      </c>
      <c r="E86" s="12">
        <v>4</v>
      </c>
      <c r="F86" s="12">
        <v>5</v>
      </c>
      <c r="G86" s="12">
        <v>6</v>
      </c>
      <c r="H86" s="12">
        <v>7</v>
      </c>
      <c r="I86" s="12">
        <v>8</v>
      </c>
      <c r="J86" s="12">
        <v>9</v>
      </c>
      <c r="K86" s="12">
        <v>10</v>
      </c>
      <c r="L86" s="12">
        <v>11</v>
      </c>
      <c r="M86" s="12">
        <v>12</v>
      </c>
      <c r="N86" s="12">
        <v>13</v>
      </c>
      <c r="O86" s="12">
        <v>14</v>
      </c>
      <c r="P86" s="12">
        <v>15</v>
      </c>
      <c r="Q86" s="12">
        <v>16</v>
      </c>
      <c r="R86" s="12">
        <v>17</v>
      </c>
      <c r="S86" s="12">
        <v>18</v>
      </c>
      <c r="T86" s="12">
        <v>19</v>
      </c>
      <c r="U86" s="12">
        <v>20</v>
      </c>
      <c r="V86" s="12">
        <v>21</v>
      </c>
      <c r="W86" s="12">
        <v>22</v>
      </c>
      <c r="X86" s="12">
        <v>23</v>
      </c>
      <c r="Y86" s="12">
        <v>24</v>
      </c>
      <c r="AA86" s="5" t="s">
        <v>12</v>
      </c>
      <c r="AB86" s="5" t="s">
        <v>113</v>
      </c>
      <c r="AC86" s="7" t="str" cm="1">
        <f t="array" ref="AC86">INDEX($B$10:$Y$25, INT((ROW(A77)-1)/24) + 1, MOD(ROW(A77)-1, 24) + 1)</f>
        <v>GNF179</v>
      </c>
      <c r="AD86" s="5">
        <v>1</v>
      </c>
      <c r="AE86" s="5" cm="1">
        <f t="array" ref="AE86">INDEX($B$29:$Y$44, INT((ROW(A77)-1)/24) + 1, MOD(ROW(A77)-1, 24) + 1)</f>
        <v>2.4691358024691357E-2</v>
      </c>
      <c r="AF86" s="5" cm="1">
        <f t="array" ref="AF86">INDEX($B$48:$Y$63, INT((ROW(A77)-1)/24) + 1, MOD(ROW(A77)-1, 24) + 1)</f>
        <v>800</v>
      </c>
    </row>
    <row r="87" spans="1:32" x14ac:dyDescent="0.2">
      <c r="A87" s="11" t="s">
        <v>9</v>
      </c>
      <c r="B87" s="13">
        <f>100-B69</f>
        <v>99.094574564538632</v>
      </c>
      <c r="C87" s="13">
        <f t="shared" ref="C87:L87" si="31">100-C69</f>
        <v>98.492092225904571</v>
      </c>
      <c r="D87" s="13">
        <f t="shared" si="31"/>
        <v>98.311687909816413</v>
      </c>
      <c r="E87" s="13">
        <f t="shared" si="31"/>
        <v>92.511518954830848</v>
      </c>
      <c r="F87" s="13">
        <f t="shared" si="31"/>
        <v>57.138657581468181</v>
      </c>
      <c r="G87" s="13">
        <f t="shared" si="31"/>
        <v>31.201282325018639</v>
      </c>
      <c r="H87" s="13">
        <f t="shared" si="31"/>
        <v>6.6765069020896561</v>
      </c>
      <c r="I87" s="13">
        <f t="shared" si="31"/>
        <v>7.0781617945123685</v>
      </c>
      <c r="J87" s="13">
        <f t="shared" si="31"/>
        <v>1.3698969250811643</v>
      </c>
      <c r="K87" s="13">
        <f t="shared" si="31"/>
        <v>8.5145886131766275</v>
      </c>
      <c r="L87" s="13">
        <f t="shared" si="31"/>
        <v>1.9281291484483063</v>
      </c>
      <c r="M87" s="13"/>
      <c r="N87" s="13">
        <f t="shared" ref="N87:X99" si="32">100-N69</f>
        <v>60.699089932944055</v>
      </c>
      <c r="O87" s="13">
        <f t="shared" si="32"/>
        <v>18.681903559504036</v>
      </c>
      <c r="P87" s="13">
        <f t="shared" si="32"/>
        <v>19.662213805417082</v>
      </c>
      <c r="Q87" s="13">
        <f t="shared" si="32"/>
        <v>8.9366666357225313</v>
      </c>
      <c r="R87" s="13">
        <f t="shared" si="32"/>
        <v>9.8523036362454945</v>
      </c>
      <c r="S87" s="13">
        <f t="shared" si="32"/>
        <v>9.2362058775293008</v>
      </c>
      <c r="T87" s="13">
        <f t="shared" si="32"/>
        <v>5.5157923400884386</v>
      </c>
      <c r="U87" s="13">
        <f t="shared" si="32"/>
        <v>0.10366285744346726</v>
      </c>
      <c r="V87" s="13">
        <f t="shared" si="32"/>
        <v>16.016685078427912</v>
      </c>
      <c r="W87" s="13">
        <f t="shared" si="32"/>
        <v>15.676299576374774</v>
      </c>
      <c r="X87" s="13">
        <f t="shared" si="32"/>
        <v>20.193215188619988</v>
      </c>
      <c r="Y87" s="13"/>
      <c r="AA87" s="5" t="s">
        <v>12</v>
      </c>
      <c r="AB87" s="5" t="s">
        <v>114</v>
      </c>
      <c r="AC87" s="7" t="str" cm="1">
        <f t="array" ref="AC87">INDEX($B$10:$Y$25, INT((ROW(A78)-1)/24) + 1, MOD(ROW(A78)-1, 24) + 1)</f>
        <v>GNF179</v>
      </c>
      <c r="AD87" s="5">
        <v>1</v>
      </c>
      <c r="AE87" s="5" cm="1">
        <f t="array" ref="AE87">INDEX($B$29:$Y$44, INT((ROW(A78)-1)/24) + 1, MOD(ROW(A78)-1, 24) + 1)</f>
        <v>8.2304526748971183E-3</v>
      </c>
      <c r="AF87" s="5" cm="1">
        <f t="array" ref="AF87">INDEX($B$48:$Y$63, INT((ROW(A78)-1)/24) + 1, MOD(ROW(A78)-1, 24) + 1)</f>
        <v>1265</v>
      </c>
    </row>
    <row r="88" spans="1:32" x14ac:dyDescent="0.2">
      <c r="A88" s="16" t="s">
        <v>14</v>
      </c>
      <c r="B88" s="13">
        <f t="shared" ref="B88:L94" si="33">100-B70</f>
        <v>99.227324910339362</v>
      </c>
      <c r="C88" s="13">
        <f t="shared" si="33"/>
        <v>98.709938947218589</v>
      </c>
      <c r="D88" s="13">
        <f t="shared" si="33"/>
        <v>98.165322143933551</v>
      </c>
      <c r="E88" s="13">
        <f t="shared" si="33"/>
        <v>97.651340035833314</v>
      </c>
      <c r="F88" s="13">
        <f t="shared" si="33"/>
        <v>69.178092789087856</v>
      </c>
      <c r="G88" s="13">
        <f t="shared" si="33"/>
        <v>40.007055263133473</v>
      </c>
      <c r="H88" s="13">
        <f t="shared" si="33"/>
        <v>11.734635462599371</v>
      </c>
      <c r="I88" s="13">
        <f t="shared" si="33"/>
        <v>3.8989612053370593E-2</v>
      </c>
      <c r="J88" s="13">
        <f t="shared" si="33"/>
        <v>3.5892103984676567</v>
      </c>
      <c r="K88" s="13">
        <f t="shared" si="33"/>
        <v>6.3463329650981137</v>
      </c>
      <c r="L88" s="13">
        <f t="shared" si="33"/>
        <v>-4.1205212230360502</v>
      </c>
      <c r="M88" s="13"/>
      <c r="N88" s="13">
        <f t="shared" si="32"/>
        <v>60.648032107636084</v>
      </c>
      <c r="O88" s="13">
        <f t="shared" si="32"/>
        <v>16.214108669618739</v>
      </c>
      <c r="P88" s="13">
        <f t="shared" si="32"/>
        <v>10.219919978462883</v>
      </c>
      <c r="Q88" s="13">
        <f t="shared" si="32"/>
        <v>11.363615265361446</v>
      </c>
      <c r="R88" s="13">
        <f t="shared" si="32"/>
        <v>6.8432957980957099</v>
      </c>
      <c r="S88" s="13">
        <f t="shared" si="32"/>
        <v>1.0124921479253572</v>
      </c>
      <c r="T88" s="13">
        <f t="shared" si="32"/>
        <v>7.0237001141838675</v>
      </c>
      <c r="U88" s="13">
        <f t="shared" si="32"/>
        <v>-5.7543716328911358</v>
      </c>
      <c r="V88" s="13">
        <f t="shared" si="32"/>
        <v>5.9310626525932832</v>
      </c>
      <c r="W88" s="13">
        <f t="shared" si="32"/>
        <v>-2.8644987204599488</v>
      </c>
      <c r="X88" s="13">
        <f t="shared" si="32"/>
        <v>10.22332383348342</v>
      </c>
      <c r="Y88" s="13"/>
      <c r="AA88" s="5" t="s">
        <v>12</v>
      </c>
      <c r="AB88" s="5" t="s">
        <v>115</v>
      </c>
      <c r="AC88" s="7" t="str" cm="1">
        <f t="array" ref="AC88">INDEX($B$10:$Y$25, INT((ROW(A79)-1)/24) + 1, MOD(ROW(A79)-1, 24) + 1)</f>
        <v>GNF179</v>
      </c>
      <c r="AD88" s="5">
        <v>1</v>
      </c>
      <c r="AE88" s="5" cm="1">
        <f t="array" ref="AE88">INDEX($B$29:$Y$44, INT((ROW(A79)-1)/24) + 1, MOD(ROW(A79)-1, 24) + 1)</f>
        <v>2.7434842249657062E-3</v>
      </c>
      <c r="AF88" s="5" cm="1">
        <f t="array" ref="AF88">INDEX($B$48:$Y$63, INT((ROW(A79)-1)/24) + 1, MOD(ROW(A79)-1, 24) + 1)</f>
        <v>2550</v>
      </c>
    </row>
    <row r="89" spans="1:32" x14ac:dyDescent="0.2">
      <c r="A89" s="16" t="s">
        <v>16</v>
      </c>
      <c r="B89" s="13">
        <f t="shared" si="33"/>
        <v>100.29953924180677</v>
      </c>
      <c r="C89" s="13">
        <f t="shared" si="33"/>
        <v>100.25188527151933</v>
      </c>
      <c r="D89" s="13">
        <f t="shared" si="33"/>
        <v>100.21103901127294</v>
      </c>
      <c r="E89" s="13">
        <f t="shared" si="33"/>
        <v>100.19061588114975</v>
      </c>
      <c r="F89" s="13">
        <f t="shared" si="33"/>
        <v>100.08850023053381</v>
      </c>
      <c r="G89" s="13">
        <f t="shared" si="33"/>
        <v>99.652806787905789</v>
      </c>
      <c r="H89" s="13">
        <f t="shared" si="33"/>
        <v>98.679304252033802</v>
      </c>
      <c r="I89" s="13">
        <f t="shared" si="33"/>
        <v>82.640339395289686</v>
      </c>
      <c r="J89" s="13">
        <f t="shared" si="33"/>
        <v>50.25265887493309</v>
      </c>
      <c r="K89" s="13">
        <f t="shared" si="33"/>
        <v>15.533337665512462</v>
      </c>
      <c r="L89" s="13">
        <f t="shared" si="33"/>
        <v>39.544130980341194</v>
      </c>
      <c r="M89" s="13"/>
      <c r="N89" s="13">
        <f t="shared" si="32"/>
        <v>48.077595516813496</v>
      </c>
      <c r="O89" s="13">
        <f t="shared" si="32"/>
        <v>6.5539681213505219</v>
      </c>
      <c r="P89" s="13">
        <f t="shared" si="32"/>
        <v>5.4511190946983419</v>
      </c>
      <c r="Q89" s="13">
        <f t="shared" si="32"/>
        <v>-3.3342307132932802</v>
      </c>
      <c r="R89" s="13">
        <f t="shared" si="32"/>
        <v>1.9145137283661882</v>
      </c>
      <c r="S89" s="13">
        <f t="shared" si="32"/>
        <v>1.7647441074628034</v>
      </c>
      <c r="T89" s="13">
        <f t="shared" si="32"/>
        <v>-5.0633890637232497</v>
      </c>
      <c r="U89" s="13">
        <f t="shared" si="32"/>
        <v>3.252228751435041</v>
      </c>
      <c r="V89" s="13">
        <f t="shared" si="32"/>
        <v>-0.41712696069784272</v>
      </c>
      <c r="W89" s="13">
        <f t="shared" si="32"/>
        <v>2.4625343866717486</v>
      </c>
      <c r="X89" s="13">
        <f t="shared" si="32"/>
        <v>9.297475267898875</v>
      </c>
      <c r="Y89" s="13"/>
      <c r="AA89" s="5" t="s">
        <v>12</v>
      </c>
      <c r="AB89" s="5" t="s">
        <v>116</v>
      </c>
      <c r="AC89" s="7" t="str" cm="1">
        <f t="array" ref="AC89">INDEX($B$10:$Y$25, INT((ROW(A80)-1)/24) + 1, MOD(ROW(A80)-1, 24) + 1)</f>
        <v>GNF179</v>
      </c>
      <c r="AD89" s="5">
        <v>1</v>
      </c>
      <c r="AE89" s="5" cm="1">
        <f t="array" ref="AE89">INDEX($B$29:$Y$44, INT((ROW(A80)-1)/24) + 1, MOD(ROW(A80)-1, 24) + 1)</f>
        <v>9.1449474165523545E-4</v>
      </c>
      <c r="AF89" s="5" cm="1">
        <f t="array" ref="AF89">INDEX($B$48:$Y$63, INT((ROW(A80)-1)/24) + 1, MOD(ROW(A80)-1, 24) + 1)</f>
        <v>17995</v>
      </c>
    </row>
    <row r="90" spans="1:32" x14ac:dyDescent="0.2">
      <c r="A90" s="16" t="s">
        <v>20</v>
      </c>
      <c r="B90" s="13">
        <f t="shared" si="33"/>
        <v>99.942134464650962</v>
      </c>
      <c r="C90" s="13">
        <f t="shared" si="33"/>
        <v>99.870653509219807</v>
      </c>
      <c r="D90" s="13">
        <f t="shared" si="33"/>
        <v>99.83321110399396</v>
      </c>
      <c r="E90" s="13">
        <f t="shared" si="33"/>
        <v>99.734499308398554</v>
      </c>
      <c r="F90" s="13">
        <f t="shared" si="33"/>
        <v>99.911499769466189</v>
      </c>
      <c r="G90" s="13">
        <f t="shared" si="33"/>
        <v>99.594941252556765</v>
      </c>
      <c r="H90" s="13">
        <f t="shared" si="33"/>
        <v>98.720150512280185</v>
      </c>
      <c r="I90" s="13">
        <f t="shared" si="33"/>
        <v>88.205642353858579</v>
      </c>
      <c r="J90" s="13">
        <f t="shared" si="33"/>
        <v>46.60713014794392</v>
      </c>
      <c r="K90" s="13">
        <f t="shared" si="33"/>
        <v>21.616026587202128</v>
      </c>
      <c r="L90" s="13">
        <f t="shared" si="33"/>
        <v>56.291097681355851</v>
      </c>
      <c r="M90" s="13"/>
      <c r="N90" s="13">
        <f t="shared" si="32"/>
        <v>47.315131992214454</v>
      </c>
      <c r="O90" s="13">
        <f t="shared" si="32"/>
        <v>7.6840479881669665</v>
      </c>
      <c r="P90" s="13">
        <f t="shared" si="32"/>
        <v>4.3925201833130814</v>
      </c>
      <c r="Q90" s="13">
        <f t="shared" si="32"/>
        <v>-0.60433898682707365</v>
      </c>
      <c r="R90" s="13">
        <f t="shared" si="32"/>
        <v>10.747517506645252</v>
      </c>
      <c r="S90" s="13">
        <f t="shared" si="32"/>
        <v>-5.1723124243802516</v>
      </c>
      <c r="T90" s="13">
        <f t="shared" si="32"/>
        <v>1.4754164307176296</v>
      </c>
      <c r="U90" s="13">
        <f t="shared" si="32"/>
        <v>-2.4083821477087355</v>
      </c>
      <c r="V90" s="13">
        <f t="shared" si="32"/>
        <v>-10.230440984889967</v>
      </c>
      <c r="W90" s="13">
        <f t="shared" si="32"/>
        <v>-1.8501499243415793</v>
      </c>
      <c r="X90" s="13">
        <f t="shared" si="32"/>
        <v>4.5150589640522014</v>
      </c>
      <c r="Y90" s="13"/>
      <c r="AA90" s="5" t="s">
        <v>12</v>
      </c>
      <c r="AB90" s="5" t="s">
        <v>117</v>
      </c>
      <c r="AC90" s="7" t="str" cm="1">
        <f t="array" ref="AC90">INDEX($B$10:$Y$25, INT((ROW(A81)-1)/24) + 1, MOD(ROW(A81)-1, 24) + 1)</f>
        <v>GNF179</v>
      </c>
      <c r="AD90" s="5">
        <v>1</v>
      </c>
      <c r="AE90" s="5" cm="1">
        <f t="array" ref="AE90">INDEX($B$29:$Y$44, INT((ROW(A81)-1)/24) + 1, MOD(ROW(A81)-1, 24) + 1)</f>
        <v>3.0483158055174517E-4</v>
      </c>
      <c r="AF90" s="5" cm="1">
        <f t="array" ref="AF90">INDEX($B$48:$Y$63, INT((ROW(A81)-1)/24) + 1, MOD(ROW(A81)-1, 24) + 1)</f>
        <v>79100</v>
      </c>
    </row>
    <row r="91" spans="1:32" x14ac:dyDescent="0.2">
      <c r="A91" s="16" t="s">
        <v>22</v>
      </c>
      <c r="B91" s="13">
        <f t="shared" si="33"/>
        <v>-3.0040567763017378</v>
      </c>
      <c r="C91" s="13">
        <f t="shared" si="33"/>
        <v>-0.71326234748407558</v>
      </c>
      <c r="D91" s="13">
        <f t="shared" si="33"/>
        <v>-5.0463697886206091</v>
      </c>
      <c r="E91" s="13">
        <f t="shared" si="33"/>
        <v>-4.2192330186314564</v>
      </c>
      <c r="F91" s="13">
        <f t="shared" si="33"/>
        <v>-2.442420697914045</v>
      </c>
      <c r="G91" s="13">
        <f t="shared" si="33"/>
        <v>-6.3023922911966963</v>
      </c>
      <c r="H91" s="13">
        <f t="shared" si="33"/>
        <v>1.162261768828742</v>
      </c>
      <c r="I91" s="13">
        <f t="shared" si="33"/>
        <v>-0.8323972732026732</v>
      </c>
      <c r="J91" s="13">
        <f t="shared" si="33"/>
        <v>3.2249979112707905</v>
      </c>
      <c r="K91" s="13">
        <f t="shared" si="33"/>
        <v>0.37597125908597206</v>
      </c>
      <c r="L91" s="13">
        <f t="shared" si="33"/>
        <v>-1.3055331210565413</v>
      </c>
      <c r="M91" s="13"/>
      <c r="N91" s="13">
        <f t="shared" si="32"/>
        <v>32.116919325541602</v>
      </c>
      <c r="O91" s="13">
        <f t="shared" si="32"/>
        <v>-7.5379916636496063</v>
      </c>
      <c r="P91" s="13">
        <f t="shared" si="32"/>
        <v>8.3239727320275847E-2</v>
      </c>
      <c r="Q91" s="13">
        <f t="shared" si="32"/>
        <v>-2.5955941738379664</v>
      </c>
      <c r="R91" s="13">
        <f t="shared" si="32"/>
        <v>-2.9427873859321636</v>
      </c>
      <c r="S91" s="13">
        <f t="shared" si="32"/>
        <v>-5.9381798039998444</v>
      </c>
      <c r="T91" s="13">
        <f t="shared" si="32"/>
        <v>-2.6466519991459307</v>
      </c>
      <c r="U91" s="13">
        <f t="shared" si="32"/>
        <v>-7.3405680724587796</v>
      </c>
      <c r="V91" s="13">
        <f t="shared" si="32"/>
        <v>-6.6700086334140991</v>
      </c>
      <c r="W91" s="13">
        <f t="shared" si="32"/>
        <v>6.3327175450159814</v>
      </c>
      <c r="X91" s="13">
        <f t="shared" si="32"/>
        <v>2.6225155726367149</v>
      </c>
      <c r="Y91" s="13"/>
      <c r="AA91" s="5" t="s">
        <v>12</v>
      </c>
      <c r="AB91" s="5" t="s">
        <v>118</v>
      </c>
      <c r="AC91" s="7" t="str" cm="1">
        <f t="array" ref="AC91">INDEX($B$10:$Y$25, INT((ROW(A82)-1)/24) + 1, MOD(ROW(A82)-1, 24) + 1)</f>
        <v>GNF179</v>
      </c>
      <c r="AD91" s="5">
        <v>1</v>
      </c>
      <c r="AE91" s="5" cm="1">
        <f t="array" ref="AE91">INDEX($B$29:$Y$44, INT((ROW(A82)-1)/24) + 1, MOD(ROW(A82)-1, 24) + 1)</f>
        <v>1.0161052685058173E-4</v>
      </c>
      <c r="AF91" s="5" cm="1">
        <f t="array" ref="AF91">INDEX($B$48:$Y$63, INT((ROW(A82)-1)/24) + 1, MOD(ROW(A82)-1, 24) + 1)</f>
        <v>115810</v>
      </c>
    </row>
    <row r="92" spans="1:32" x14ac:dyDescent="0.2">
      <c r="A92" s="16" t="s">
        <v>26</v>
      </c>
      <c r="B92" s="13">
        <f t="shared" si="33"/>
        <v>-0.81537799810003264</v>
      </c>
      <c r="C92" s="13">
        <f t="shared" si="33"/>
        <v>3.9840575808492957</v>
      </c>
      <c r="D92" s="13">
        <f t="shared" si="33"/>
        <v>-0.93110906879809363</v>
      </c>
      <c r="E92" s="13">
        <f t="shared" si="33"/>
        <v>-1.3531870913439974</v>
      </c>
      <c r="F92" s="13">
        <f t="shared" si="33"/>
        <v>0.40660595427075918</v>
      </c>
      <c r="G92" s="13">
        <f t="shared" si="33"/>
        <v>-0.24353035465074413</v>
      </c>
      <c r="H92" s="13">
        <f t="shared" si="33"/>
        <v>-3.7733280109418388</v>
      </c>
      <c r="I92" s="13">
        <f t="shared" si="33"/>
        <v>-1.6697456082534075</v>
      </c>
      <c r="J92" s="13">
        <f t="shared" si="33"/>
        <v>-1.6288993480070246</v>
      </c>
      <c r="K92" s="13">
        <f t="shared" si="33"/>
        <v>3.6811144840220038</v>
      </c>
      <c r="L92" s="13">
        <f t="shared" si="33"/>
        <v>-3.9775593121737245</v>
      </c>
      <c r="M92" s="13"/>
      <c r="N92" s="13">
        <f t="shared" si="32"/>
        <v>36.528315432150336</v>
      </c>
      <c r="O92" s="13">
        <f t="shared" si="32"/>
        <v>4.0827693764447019</v>
      </c>
      <c r="P92" s="13">
        <f t="shared" si="32"/>
        <v>-3.0142683413633335</v>
      </c>
      <c r="Q92" s="13">
        <f t="shared" si="32"/>
        <v>-3.8720398065372592</v>
      </c>
      <c r="R92" s="13">
        <f t="shared" si="32"/>
        <v>2.7722851935400996</v>
      </c>
      <c r="S92" s="13">
        <f t="shared" si="32"/>
        <v>2.7688813385195772</v>
      </c>
      <c r="T92" s="13">
        <f t="shared" si="32"/>
        <v>4.766944235571529</v>
      </c>
      <c r="U92" s="13">
        <f t="shared" si="32"/>
        <v>-2.0475735155323918</v>
      </c>
      <c r="V92" s="13">
        <f t="shared" si="32"/>
        <v>-1.0128015892908451</v>
      </c>
      <c r="W92" s="13">
        <f t="shared" si="32"/>
        <v>0.44745221451714201</v>
      </c>
      <c r="X92" s="13">
        <f t="shared" si="32"/>
        <v>3.9568267406850453</v>
      </c>
      <c r="Y92" s="13"/>
      <c r="AA92" s="5" t="s">
        <v>12</v>
      </c>
      <c r="AB92" s="5" t="s">
        <v>119</v>
      </c>
      <c r="AC92" s="7" t="str" cm="1">
        <f t="array" ref="AC92">INDEX($B$10:$Y$25, INT((ROW(A83)-1)/24) + 1, MOD(ROW(A83)-1, 24) + 1)</f>
        <v>GNF179</v>
      </c>
      <c r="AD92" s="5">
        <v>1</v>
      </c>
      <c r="AE92" s="5" cm="1">
        <f t="array" ref="AE92">INDEX($B$29:$Y$44, INT((ROW(A83)-1)/24) + 1, MOD(ROW(A83)-1, 24) + 1)</f>
        <v>3.3870175616860578E-5</v>
      </c>
      <c r="AF92" s="5" cm="1">
        <f t="array" ref="AF92">INDEX($B$48:$Y$63, INT((ROW(A83)-1)/24) + 1, MOD(ROW(A83)-1, 24) + 1)</f>
        <v>64875</v>
      </c>
    </row>
    <row r="93" spans="1:32" x14ac:dyDescent="0.2">
      <c r="A93" s="16" t="s">
        <v>28</v>
      </c>
      <c r="B93" s="13">
        <f>100-B75</f>
        <v>9.4812834390075551</v>
      </c>
      <c r="C93" s="13">
        <f t="shared" si="33"/>
        <v>0.76401073142655207</v>
      </c>
      <c r="D93" s="13">
        <f t="shared" si="33"/>
        <v>0.79464542661133919</v>
      </c>
      <c r="E93" s="13">
        <f t="shared" si="33"/>
        <v>-6.4317387819768896</v>
      </c>
      <c r="F93" s="13">
        <f t="shared" si="33"/>
        <v>-2.3334973372570573</v>
      </c>
      <c r="G93" s="13">
        <f t="shared" si="33"/>
        <v>-2.6296327240432902</v>
      </c>
      <c r="H93" s="13">
        <f t="shared" si="33"/>
        <v>-5.9143528188561021</v>
      </c>
      <c r="I93" s="13">
        <f t="shared" si="33"/>
        <v>-8.6170137051580866</v>
      </c>
      <c r="J93" s="13">
        <f t="shared" si="33"/>
        <v>6.2680442996258847</v>
      </c>
      <c r="K93" s="13">
        <f t="shared" si="33"/>
        <v>-1.7582458387872322</v>
      </c>
      <c r="L93" s="13">
        <f t="shared" si="33"/>
        <v>1.2882044045883987</v>
      </c>
      <c r="M93" s="13"/>
      <c r="N93" s="13">
        <f t="shared" si="32"/>
        <v>100.2280582863756</v>
      </c>
      <c r="O93" s="13">
        <f t="shared" si="32"/>
        <v>99.61196052765942</v>
      </c>
      <c r="P93" s="13">
        <f t="shared" si="32"/>
        <v>99.203497925195649</v>
      </c>
      <c r="Q93" s="13">
        <f t="shared" si="32"/>
        <v>96.39872138827775</v>
      </c>
      <c r="R93" s="13">
        <f t="shared" si="32"/>
        <v>88.791105417389986</v>
      </c>
      <c r="S93" s="13">
        <f t="shared" si="32"/>
        <v>65.7606223484743</v>
      </c>
      <c r="T93" s="13">
        <f t="shared" si="32"/>
        <v>38.124723436779583</v>
      </c>
      <c r="U93" s="13">
        <f t="shared" si="32"/>
        <v>23.67535887462364</v>
      </c>
      <c r="V93" s="13">
        <f t="shared" si="32"/>
        <v>12.701330288430299</v>
      </c>
      <c r="W93" s="13">
        <f t="shared" si="32"/>
        <v>3.2318056213118496</v>
      </c>
      <c r="X93" s="13">
        <f t="shared" si="32"/>
        <v>9.8625152013070903</v>
      </c>
      <c r="Y93" s="13"/>
      <c r="AA93" s="5" t="s">
        <v>12</v>
      </c>
      <c r="AB93" s="5" t="s">
        <v>120</v>
      </c>
      <c r="AC93" s="7" t="s">
        <v>121</v>
      </c>
      <c r="AD93" s="5">
        <v>1</v>
      </c>
      <c r="AE93" s="5" cm="1">
        <f t="array" ref="AE93">INDEX($B$29:$Y$44, INT((ROW(A84)-1)/24) + 1, MOD(ROW(A84)-1, 24) + 1)</f>
        <v>0</v>
      </c>
      <c r="AF93" s="5" cm="1">
        <f t="array" ref="AF93">INDEX($B$48:$Y$63, INT((ROW(A84)-1)/24) + 1, MOD(ROW(A84)-1, 24) + 1)</f>
        <v>790</v>
      </c>
    </row>
    <row r="94" spans="1:32" x14ac:dyDescent="0.2">
      <c r="A94" s="16" t="s">
        <v>31</v>
      </c>
      <c r="B94" s="13">
        <f t="shared" ref="B94:L102" si="34">100-B76</f>
        <v>16.350262870440005</v>
      </c>
      <c r="C94" s="13">
        <f t="shared" si="34"/>
        <v>7.2517584005594671</v>
      </c>
      <c r="D94" s="13">
        <f t="shared" si="34"/>
        <v>10.128015892908536</v>
      </c>
      <c r="E94" s="13">
        <f t="shared" si="34"/>
        <v>-3.5997314048947402</v>
      </c>
      <c r="F94" s="13">
        <f t="shared" si="34"/>
        <v>2.6701695429241568</v>
      </c>
      <c r="G94" s="13">
        <f t="shared" si="34"/>
        <v>1.9281291484483063</v>
      </c>
      <c r="H94" s="13">
        <f t="shared" si="34"/>
        <v>-1.0298208643935141</v>
      </c>
      <c r="I94" s="13">
        <f t="shared" si="33"/>
        <v>-7.7966846452099929</v>
      </c>
      <c r="J94" s="13">
        <f t="shared" si="33"/>
        <v>1.4720125756971072</v>
      </c>
      <c r="K94" s="13">
        <f t="shared" si="33"/>
        <v>5.5021769200063204</v>
      </c>
      <c r="L94" s="13">
        <f t="shared" si="34"/>
        <v>1.6353976166826101</v>
      </c>
      <c r="M94" s="13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13"/>
      <c r="AA94" s="5" t="s">
        <v>12</v>
      </c>
      <c r="AB94" s="5" t="s">
        <v>122</v>
      </c>
      <c r="AC94" s="7" t="str" cm="1">
        <f t="array" ref="AC94">INDEX($B$10:$Y$25, INT((ROW(A85)-1)/24) + 1, MOD(ROW(A85)-1, 24) + 1)</f>
        <v>B4</v>
      </c>
      <c r="AD94" s="5">
        <v>1</v>
      </c>
      <c r="AE94" s="5" cm="1">
        <f t="array" ref="AE94">INDEX($B$29:$Y$44, INT((ROW(A85)-1)/24) + 1, MOD(ROW(A85)-1, 24) + 1)</f>
        <v>0.1</v>
      </c>
      <c r="AF94" s="5" cm="1">
        <f t="array" ref="AF94">INDEX($B$48:$Y$63, INT((ROW(A85)-1)/24) + 1, MOD(ROW(A85)-1, 24) + 1)</f>
        <v>78060</v>
      </c>
    </row>
    <row r="95" spans="1:32" x14ac:dyDescent="0.2">
      <c r="A95" s="16" t="s">
        <v>33</v>
      </c>
      <c r="B95" s="13">
        <f t="shared" si="34"/>
        <v>95.649873283760826</v>
      </c>
      <c r="C95" s="13">
        <f t="shared" si="34"/>
        <v>84.982191649415313</v>
      </c>
      <c r="D95" s="13">
        <f t="shared" si="34"/>
        <v>77.711557325560165</v>
      </c>
      <c r="E95" s="13">
        <f t="shared" si="34"/>
        <v>63.476635629697711</v>
      </c>
      <c r="F95" s="13">
        <f t="shared" si="34"/>
        <v>51.992028790424648</v>
      </c>
      <c r="G95" s="13">
        <f t="shared" si="34"/>
        <v>45.027741418417335</v>
      </c>
      <c r="H95" s="13">
        <f t="shared" si="34"/>
        <v>42.008522015205955</v>
      </c>
      <c r="I95" s="13">
        <f t="shared" si="34"/>
        <v>33.549942289185338</v>
      </c>
      <c r="J95" s="25"/>
      <c r="K95" s="25"/>
      <c r="L95" s="25"/>
      <c r="M95" s="13"/>
      <c r="N95" s="13">
        <f t="shared" si="32"/>
        <v>95.939200960506</v>
      </c>
      <c r="O95" s="13">
        <f t="shared" si="32"/>
        <v>76.128764741013043</v>
      </c>
      <c r="P95" s="13">
        <f t="shared" si="32"/>
        <v>69.872479213276279</v>
      </c>
      <c r="Q95" s="13">
        <f t="shared" si="32"/>
        <v>53.057435411850989</v>
      </c>
      <c r="R95" s="13">
        <f t="shared" si="32"/>
        <v>34.118386077614076</v>
      </c>
      <c r="S95" s="13">
        <f t="shared" si="32"/>
        <v>24.52291877473597</v>
      </c>
      <c r="T95" s="13">
        <f t="shared" si="32"/>
        <v>5.4885614999241881</v>
      </c>
      <c r="U95" s="13">
        <f t="shared" si="32"/>
        <v>3.9534228856645086</v>
      </c>
      <c r="V95" s="13">
        <f t="shared" si="32"/>
        <v>-0.18906867432224317</v>
      </c>
      <c r="W95" s="13">
        <f t="shared" si="32"/>
        <v>6.9181806085474022</v>
      </c>
      <c r="X95" s="13">
        <f t="shared" si="32"/>
        <v>6.0740245634555947</v>
      </c>
      <c r="Y95" s="13"/>
      <c r="AA95" s="5" t="s">
        <v>12</v>
      </c>
      <c r="AB95" s="5" t="s">
        <v>123</v>
      </c>
      <c r="AC95" s="7" t="str" cm="1">
        <f t="array" ref="AC95">INDEX($B$10:$Y$25, INT((ROW(A86)-1)/24) + 1, MOD(ROW(A86)-1, 24) + 1)</f>
        <v>B4</v>
      </c>
      <c r="AD95" s="5">
        <v>1</v>
      </c>
      <c r="AE95" s="5" cm="1">
        <f t="array" ref="AE95">INDEX($B$29:$Y$44, INT((ROW(A86)-1)/24) + 1, MOD(ROW(A86)-1, 24) + 1)</f>
        <v>3.3333333333333333E-2</v>
      </c>
      <c r="AF95" s="5" cm="1">
        <f t="array" ref="AF95">INDEX($B$48:$Y$63, INT((ROW(A86)-1)/24) + 1, MOD(ROW(A86)-1, 24) + 1)</f>
        <v>136275</v>
      </c>
    </row>
    <row r="96" spans="1:32" x14ac:dyDescent="0.2">
      <c r="A96" s="16" t="s">
        <v>37</v>
      </c>
      <c r="B96" s="13">
        <f t="shared" si="34"/>
        <v>95.769008209479423</v>
      </c>
      <c r="C96" s="13">
        <f t="shared" si="34"/>
        <v>94.084099974316359</v>
      </c>
      <c r="D96" s="13">
        <f t="shared" si="34"/>
        <v>82.878609246726882</v>
      </c>
      <c r="E96" s="13">
        <f t="shared" si="34"/>
        <v>81.843837320485335</v>
      </c>
      <c r="F96" s="13">
        <f t="shared" si="34"/>
        <v>63.534501165046741</v>
      </c>
      <c r="G96" s="13">
        <f t="shared" si="34"/>
        <v>45.790204943016377</v>
      </c>
      <c r="H96" s="13">
        <f t="shared" si="34"/>
        <v>34.077539817367708</v>
      </c>
      <c r="I96" s="13">
        <f t="shared" si="34"/>
        <v>24.771400191234775</v>
      </c>
      <c r="J96" s="13">
        <f t="shared" si="34"/>
        <v>7.8576445942140793</v>
      </c>
      <c r="K96" s="13">
        <f t="shared" si="34"/>
        <v>4.5763283544217614</v>
      </c>
      <c r="L96" s="13">
        <f t="shared" si="34"/>
        <v>7.4151434415449842</v>
      </c>
      <c r="M96" s="13"/>
      <c r="N96" s="13">
        <f t="shared" si="32"/>
        <v>95.391180302200439</v>
      </c>
      <c r="O96" s="13">
        <f t="shared" si="32"/>
        <v>77.895365496668859</v>
      </c>
      <c r="P96" s="13">
        <f t="shared" si="32"/>
        <v>66.431181787518994</v>
      </c>
      <c r="Q96" s="13">
        <f t="shared" si="32"/>
        <v>50.770044838053863</v>
      </c>
      <c r="R96" s="13">
        <f t="shared" si="32"/>
        <v>35.095292468506614</v>
      </c>
      <c r="S96" s="13">
        <f t="shared" si="32"/>
        <v>23.624301049315676</v>
      </c>
      <c r="T96" s="13">
        <f t="shared" si="32"/>
        <v>13.576121028706879</v>
      </c>
      <c r="U96" s="13">
        <f t="shared" si="32"/>
        <v>7.8474330291524694</v>
      </c>
      <c r="V96" s="13">
        <f t="shared" si="32"/>
        <v>2.9765164947719995</v>
      </c>
      <c r="W96" s="13">
        <f t="shared" si="32"/>
        <v>-1.0536478495372279</v>
      </c>
      <c r="X96" s="13">
        <f t="shared" si="32"/>
        <v>6.2884674297490761</v>
      </c>
      <c r="Y96" s="13"/>
      <c r="AA96" s="5" t="s">
        <v>12</v>
      </c>
      <c r="AB96" s="5" t="s">
        <v>124</v>
      </c>
      <c r="AC96" s="7" t="str" cm="1">
        <f t="array" ref="AC96">INDEX($B$10:$Y$25, INT((ROW(A87)-1)/24) + 1, MOD(ROW(A87)-1, 24) + 1)</f>
        <v>B4</v>
      </c>
      <c r="AD96" s="5">
        <v>1</v>
      </c>
      <c r="AE96" s="5" cm="1">
        <f t="array" ref="AE96">INDEX($B$29:$Y$44, INT((ROW(A87)-1)/24) + 1, MOD(ROW(A87)-1, 24) + 1)</f>
        <v>1.1111111111111112E-2</v>
      </c>
      <c r="AF96" s="5" cm="1">
        <f t="array" ref="AF96">INDEX($B$48:$Y$63, INT((ROW(A87)-1)/24) + 1, MOD(ROW(A87)-1, 24) + 1)</f>
        <v>141110</v>
      </c>
    </row>
    <row r="97" spans="1:32" x14ac:dyDescent="0.2">
      <c r="A97" s="16" t="s">
        <v>39</v>
      </c>
      <c r="B97" s="13">
        <f t="shared" si="34"/>
        <v>96.276182607538615</v>
      </c>
      <c r="C97" s="13">
        <f t="shared" si="34"/>
        <v>96.095778291450443</v>
      </c>
      <c r="D97" s="13">
        <f t="shared" si="34"/>
        <v>88.134161398427423</v>
      </c>
      <c r="E97" s="13">
        <f t="shared" si="34"/>
        <v>75.594359502789615</v>
      </c>
      <c r="F97" s="13">
        <f t="shared" si="34"/>
        <v>57.890909541005627</v>
      </c>
      <c r="G97" s="13">
        <f t="shared" si="34"/>
        <v>46.807957594155269</v>
      </c>
      <c r="H97" s="13">
        <f t="shared" si="34"/>
        <v>25.513440585710626</v>
      </c>
      <c r="I97" s="13">
        <f t="shared" si="34"/>
        <v>3.9806537258287591</v>
      </c>
      <c r="J97" s="13">
        <f t="shared" si="34"/>
        <v>4.5422898042164519</v>
      </c>
      <c r="K97" s="13">
        <f t="shared" si="34"/>
        <v>3.470075472749059</v>
      </c>
      <c r="L97" s="13">
        <f t="shared" si="34"/>
        <v>9.1885519072418589</v>
      </c>
      <c r="M97" s="13"/>
      <c r="N97" s="13">
        <f t="shared" si="32"/>
        <v>99.969365304815213</v>
      </c>
      <c r="O97" s="13">
        <f t="shared" si="32"/>
        <v>97.052261552219775</v>
      </c>
      <c r="P97" s="13">
        <f t="shared" si="32"/>
        <v>87.398928713992632</v>
      </c>
      <c r="Q97" s="13">
        <f t="shared" si="32"/>
        <v>57.029734220811171</v>
      </c>
      <c r="R97" s="13">
        <f t="shared" si="32"/>
        <v>33.669077214903936</v>
      </c>
      <c r="S97" s="13">
        <f t="shared" si="32"/>
        <v>19.338847578466599</v>
      </c>
      <c r="T97" s="13">
        <f t="shared" si="32"/>
        <v>15.233798423705693</v>
      </c>
      <c r="U97" s="13">
        <f t="shared" si="32"/>
        <v>16.17326240937237</v>
      </c>
      <c r="V97" s="13">
        <f t="shared" si="32"/>
        <v>0.34193270888066252</v>
      </c>
      <c r="W97" s="13">
        <f t="shared" si="32"/>
        <v>13.198293121427895</v>
      </c>
      <c r="X97" s="13">
        <f t="shared" si="32"/>
        <v>10.311824064017244</v>
      </c>
      <c r="Y97" s="13"/>
      <c r="AA97" s="5" t="s">
        <v>12</v>
      </c>
      <c r="AB97" s="5" t="s">
        <v>125</v>
      </c>
      <c r="AC97" s="7" t="str" cm="1">
        <f t="array" ref="AC97">INDEX($B$10:$Y$25, INT((ROW(A88)-1)/24) + 1, MOD(ROW(A88)-1, 24) + 1)</f>
        <v>B4</v>
      </c>
      <c r="AD97" s="5">
        <v>1</v>
      </c>
      <c r="AE97" s="5" cm="1">
        <f t="array" ref="AE97">INDEX($B$29:$Y$44, INT((ROW(A88)-1)/24) + 1, MOD(ROW(A88)-1, 24) + 1)</f>
        <v>3.7037037037037038E-3</v>
      </c>
      <c r="AF97" s="5" cm="1">
        <f t="array" ref="AF97">INDEX($B$48:$Y$63, INT((ROW(A88)-1)/24) + 1, MOD(ROW(A88)-1, 24) + 1)</f>
        <v>148450</v>
      </c>
    </row>
    <row r="98" spans="1:32" x14ac:dyDescent="0.2">
      <c r="A98" s="16" t="s">
        <v>43</v>
      </c>
      <c r="B98" s="13">
        <f t="shared" si="34"/>
        <v>97.726224846285007</v>
      </c>
      <c r="C98" s="13">
        <f t="shared" si="34"/>
        <v>92.109864062408136</v>
      </c>
      <c r="D98" s="13">
        <f t="shared" si="34"/>
        <v>84.284401370206368</v>
      </c>
      <c r="E98" s="13">
        <f t="shared" si="34"/>
        <v>70.31498036594536</v>
      </c>
      <c r="F98" s="13">
        <f t="shared" si="34"/>
        <v>55.501403316592558</v>
      </c>
      <c r="G98" s="13">
        <f t="shared" si="34"/>
        <v>39.479457734951097</v>
      </c>
      <c r="H98" s="13">
        <f t="shared" si="34"/>
        <v>24.335706748606739</v>
      </c>
      <c r="I98" s="13">
        <f t="shared" si="34"/>
        <v>6.2476211695027075</v>
      </c>
      <c r="J98" s="13">
        <f t="shared" si="34"/>
        <v>9.4404371787611865</v>
      </c>
      <c r="K98" s="13">
        <f t="shared" si="34"/>
        <v>2.520399922020772</v>
      </c>
      <c r="L98" s="13">
        <f t="shared" si="34"/>
        <v>3.1807477960038852</v>
      </c>
      <c r="M98" s="13"/>
      <c r="N98" s="13">
        <f t="shared" si="32"/>
        <v>100.09871179559541</v>
      </c>
      <c r="O98" s="13">
        <f t="shared" si="32"/>
        <v>93.62798340156516</v>
      </c>
      <c r="P98" s="13">
        <f t="shared" si="32"/>
        <v>83.995073693461194</v>
      </c>
      <c r="Q98" s="13">
        <f t="shared" si="32"/>
        <v>71.394002407453826</v>
      </c>
      <c r="R98" s="13">
        <f t="shared" si="32"/>
        <v>50.729198577807487</v>
      </c>
      <c r="S98" s="13">
        <f t="shared" si="32"/>
        <v>25.996787998626075</v>
      </c>
      <c r="T98" s="13">
        <f t="shared" si="32"/>
        <v>20.989717263424339</v>
      </c>
      <c r="U98" s="13">
        <f t="shared" si="32"/>
        <v>11.659750652147679</v>
      </c>
      <c r="V98" s="13">
        <f t="shared" si="32"/>
        <v>4.4435780086210457</v>
      </c>
      <c r="W98" s="13">
        <f t="shared" si="32"/>
        <v>4.0180961310546195</v>
      </c>
      <c r="X98" s="13">
        <f t="shared" si="32"/>
        <v>11.942270618851794</v>
      </c>
      <c r="Y98" s="13"/>
      <c r="AA98" s="5" t="s">
        <v>12</v>
      </c>
      <c r="AB98" s="5" t="s">
        <v>126</v>
      </c>
      <c r="AC98" s="7" t="str" cm="1">
        <f t="array" ref="AC98">INDEX($B$10:$Y$25, INT((ROW(A89)-1)/24) + 1, MOD(ROW(A89)-1, 24) + 1)</f>
        <v>B4</v>
      </c>
      <c r="AD98" s="5">
        <v>1</v>
      </c>
      <c r="AE98" s="5" cm="1">
        <f t="array" ref="AE98">INDEX($B$29:$Y$44, INT((ROW(A89)-1)/24) + 1, MOD(ROW(A89)-1, 24) + 1)</f>
        <v>1.2345679012345679E-3</v>
      </c>
      <c r="AF98" s="5" cm="1">
        <f t="array" ref="AF98">INDEX($B$48:$Y$63, INT((ROW(A89)-1)/24) + 1, MOD(ROW(A89)-1, 24) + 1)</f>
        <v>131775</v>
      </c>
    </row>
    <row r="99" spans="1:32" x14ac:dyDescent="0.2">
      <c r="A99" s="16" t="s">
        <v>45</v>
      </c>
      <c r="B99" s="13">
        <f t="shared" si="34"/>
        <v>29.407450729198587</v>
      </c>
      <c r="C99" s="13">
        <f t="shared" si="34"/>
        <v>-7.1907984515553949</v>
      </c>
      <c r="D99" s="13">
        <f t="shared" si="34"/>
        <v>-3.1061724269176807</v>
      </c>
      <c r="E99" s="13">
        <f t="shared" si="34"/>
        <v>8.3239727320275847E-2</v>
      </c>
      <c r="F99" s="13">
        <f t="shared" si="34"/>
        <v>-6.5134313024696411</v>
      </c>
      <c r="G99" s="13">
        <f t="shared" si="34"/>
        <v>-15.714051422966108</v>
      </c>
      <c r="H99" s="13">
        <f t="shared" si="34"/>
        <v>-8.4059746938851276</v>
      </c>
      <c r="I99" s="13">
        <f t="shared" si="34"/>
        <v>-4.0456364125843578</v>
      </c>
      <c r="J99" s="13">
        <f t="shared" si="34"/>
        <v>-4.2873101190420897</v>
      </c>
      <c r="K99" s="13">
        <f t="shared" si="34"/>
        <v>-4.0592518326664901</v>
      </c>
      <c r="L99" s="13">
        <f t="shared" si="34"/>
        <v>4.5456936592369885</v>
      </c>
      <c r="M99" s="13"/>
      <c r="N99" s="13">
        <f>100-N81</f>
        <v>80.376775806636289</v>
      </c>
      <c r="O99" s="13">
        <f t="shared" si="32"/>
        <v>20.155772783394141</v>
      </c>
      <c r="P99" s="13">
        <f t="shared" si="32"/>
        <v>20.86037077264416</v>
      </c>
      <c r="Q99" s="13">
        <f t="shared" si="32"/>
        <v>10.386708874468937</v>
      </c>
      <c r="R99" s="13">
        <f t="shared" si="32"/>
        <v>4.5899437745038938</v>
      </c>
      <c r="S99" s="13">
        <f t="shared" si="32"/>
        <v>-0.96855147402395403</v>
      </c>
      <c r="T99" s="13">
        <f t="shared" si="32"/>
        <v>-3.3886923936217812</v>
      </c>
      <c r="U99" s="13">
        <f t="shared" si="32"/>
        <v>-6.3568539715251831</v>
      </c>
      <c r="V99" s="13">
        <f t="shared" si="32"/>
        <v>-4.1851944684261326</v>
      </c>
      <c r="W99" s="13">
        <f t="shared" si="32"/>
        <v>2.3365917509120919</v>
      </c>
      <c r="X99" s="13">
        <f t="shared" si="32"/>
        <v>12.027366994365067</v>
      </c>
      <c r="Y99" s="13"/>
      <c r="AA99" s="5" t="s">
        <v>12</v>
      </c>
      <c r="AB99" s="5" t="s">
        <v>127</v>
      </c>
      <c r="AC99" s="7" t="str" cm="1">
        <f t="array" ref="AC99">INDEX($B$10:$Y$25, INT((ROW(A90)-1)/24) + 1, MOD(ROW(A90)-1, 24) + 1)</f>
        <v>B4</v>
      </c>
      <c r="AD99" s="5">
        <v>1</v>
      </c>
      <c r="AE99" s="5" cm="1">
        <f t="array" ref="AE99">INDEX($B$29:$Y$44, INT((ROW(A90)-1)/24) + 1, MOD(ROW(A90)-1, 24) + 1)</f>
        <v>4.1152263374485596E-4</v>
      </c>
      <c r="AF99" s="5" cm="1">
        <f t="array" ref="AF99">INDEX($B$48:$Y$63, INT((ROW(A90)-1)/24) + 1, MOD(ROW(A90)-1, 24) + 1)</f>
        <v>155160</v>
      </c>
    </row>
    <row r="100" spans="1:32" x14ac:dyDescent="0.2">
      <c r="A100" s="16" t="s">
        <v>48</v>
      </c>
      <c r="B100" s="13">
        <f t="shared" si="34"/>
        <v>29.564028060143031</v>
      </c>
      <c r="C100" s="13">
        <f t="shared" si="34"/>
        <v>-3.967347747112143</v>
      </c>
      <c r="D100" s="13">
        <f t="shared" si="34"/>
        <v>-6.6563932133319526</v>
      </c>
      <c r="E100" s="13">
        <f t="shared" si="34"/>
        <v>-5.1621008593186701</v>
      </c>
      <c r="F100" s="13">
        <f t="shared" si="34"/>
        <v>-5.1927355545034573</v>
      </c>
      <c r="G100" s="13">
        <f t="shared" si="34"/>
        <v>-13.099890767197977</v>
      </c>
      <c r="H100" s="13">
        <f t="shared" si="34"/>
        <v>-3.5350581595046293</v>
      </c>
      <c r="I100" s="13">
        <f t="shared" si="34"/>
        <v>-2.4798631031399054</v>
      </c>
      <c r="J100" s="13">
        <f t="shared" si="34"/>
        <v>-4.8761770375940188</v>
      </c>
      <c r="K100" s="13">
        <f t="shared" si="34"/>
        <v>-2.3369011922775798</v>
      </c>
      <c r="L100" s="13">
        <f t="shared" si="34"/>
        <v>-7.3950297527872948</v>
      </c>
      <c r="M100" s="13"/>
      <c r="N100" s="13">
        <f t="shared" ref="N100:X102" si="35">100-N82</f>
        <v>77.374575678527549</v>
      </c>
      <c r="O100" s="13">
        <f t="shared" si="35"/>
        <v>21.033967378691258</v>
      </c>
      <c r="P100" s="13">
        <f t="shared" si="35"/>
        <v>17.037841584587355</v>
      </c>
      <c r="Q100" s="13">
        <f t="shared" si="35"/>
        <v>0.58020256031787198</v>
      </c>
      <c r="R100" s="13">
        <f t="shared" si="35"/>
        <v>1.9791869737562848</v>
      </c>
      <c r="S100" s="13">
        <f t="shared" si="35"/>
        <v>10.332247194140422</v>
      </c>
      <c r="T100" s="13">
        <f t="shared" si="35"/>
        <v>1.4243586054096653</v>
      </c>
      <c r="U100" s="13">
        <f t="shared" si="35"/>
        <v>-4.8795808926145554</v>
      </c>
      <c r="V100" s="13">
        <f t="shared" si="35"/>
        <v>-1.720803433561386</v>
      </c>
      <c r="W100" s="13">
        <f t="shared" si="35"/>
        <v>-9.4986121554757119</v>
      </c>
      <c r="X100" s="13">
        <f t="shared" si="35"/>
        <v>-2.2109585565179231</v>
      </c>
      <c r="Y100" s="13"/>
      <c r="AA100" s="5" t="s">
        <v>12</v>
      </c>
      <c r="AB100" s="5" t="s">
        <v>128</v>
      </c>
      <c r="AC100" s="7" t="str" cm="1">
        <f t="array" ref="AC100">INDEX($B$10:$Y$25, INT((ROW(A91)-1)/24) + 1, MOD(ROW(A91)-1, 24) + 1)</f>
        <v>B4</v>
      </c>
      <c r="AD100" s="5">
        <v>1</v>
      </c>
      <c r="AE100" s="5" cm="1">
        <f t="array" ref="AE100">INDEX($B$29:$Y$44, INT((ROW(A91)-1)/24) + 1, MOD(ROW(A91)-1, 24) + 1)</f>
        <v>1.3717421124828533E-4</v>
      </c>
      <c r="AF100" s="5" cm="1">
        <f t="array" ref="AF100">INDEX($B$48:$Y$63, INT((ROW(A91)-1)/24) + 1, MOD(ROW(A91)-1, 24) + 1)</f>
        <v>145395</v>
      </c>
    </row>
    <row r="101" spans="1:32" x14ac:dyDescent="0.2">
      <c r="A101" s="16" t="s">
        <v>50</v>
      </c>
      <c r="B101" s="13">
        <f t="shared" si="34"/>
        <v>99.193286360134053</v>
      </c>
      <c r="C101" s="13">
        <f t="shared" si="34"/>
        <v>97.848763627024127</v>
      </c>
      <c r="D101" s="13">
        <f t="shared" si="34"/>
        <v>96.020893480998751</v>
      </c>
      <c r="E101" s="13">
        <f t="shared" si="34"/>
        <v>91.538016418958847</v>
      </c>
      <c r="F101" s="13">
        <f t="shared" si="34"/>
        <v>87.371697873828381</v>
      </c>
      <c r="G101" s="13">
        <f t="shared" si="34"/>
        <v>84.750729508019177</v>
      </c>
      <c r="H101" s="13">
        <f t="shared" si="34"/>
        <v>75.747532978713537</v>
      </c>
      <c r="I101" s="13">
        <f t="shared" si="34"/>
        <v>62.087862781320887</v>
      </c>
      <c r="J101" s="13">
        <f t="shared" si="34"/>
        <v>42.958197565934221</v>
      </c>
      <c r="K101" s="13">
        <f t="shared" si="34"/>
        <v>33.291249307624952</v>
      </c>
      <c r="L101" s="13">
        <f t="shared" si="34"/>
        <v>20.802505237295108</v>
      </c>
      <c r="M101" s="13"/>
      <c r="N101" s="13">
        <f t="shared" si="35"/>
        <v>96.184278521984268</v>
      </c>
      <c r="O101" s="13">
        <f t="shared" si="35"/>
        <v>55.960923744364301</v>
      </c>
      <c r="P101" s="13">
        <f t="shared" si="35"/>
        <v>42.934370580790507</v>
      </c>
      <c r="Q101" s="13">
        <f t="shared" si="35"/>
        <v>37.130797770784405</v>
      </c>
      <c r="R101" s="13">
        <f t="shared" si="35"/>
        <v>19.968560757264925</v>
      </c>
      <c r="S101" s="13">
        <f t="shared" si="35"/>
        <v>21.224583259841012</v>
      </c>
      <c r="T101" s="13">
        <f t="shared" si="35"/>
        <v>15.849896182421872</v>
      </c>
      <c r="U101" s="13">
        <f t="shared" si="35"/>
        <v>6.7547955675618852</v>
      </c>
      <c r="V101" s="13">
        <f t="shared" si="35"/>
        <v>9.3655523683094941</v>
      </c>
      <c r="W101" s="13">
        <f t="shared" si="35"/>
        <v>14.069680006683939</v>
      </c>
      <c r="X101" s="13">
        <f t="shared" si="35"/>
        <v>8.5758580035462018</v>
      </c>
      <c r="Y101" s="13"/>
      <c r="AA101" s="5" t="s">
        <v>12</v>
      </c>
      <c r="AB101" s="5" t="s">
        <v>129</v>
      </c>
      <c r="AC101" s="7" t="str" cm="1">
        <f t="array" ref="AC101">INDEX($B$10:$Y$25, INT((ROW(A92)-1)/24) + 1, MOD(ROW(A92)-1, 24) + 1)</f>
        <v>B4</v>
      </c>
      <c r="AD101" s="5">
        <v>1</v>
      </c>
      <c r="AE101" s="5" cm="1">
        <f t="array" ref="AE101">INDEX($B$29:$Y$44, INT((ROW(A92)-1)/24) + 1, MOD(ROW(A92)-1, 24) + 1)</f>
        <v>4.5724737082761774E-5</v>
      </c>
      <c r="AF101" s="5" cm="1">
        <f t="array" ref="AF101">INDEX($B$48:$Y$63, INT((ROW(A92)-1)/24) + 1, MOD(ROW(A92)-1, 24) + 1)</f>
        <v>151100</v>
      </c>
    </row>
    <row r="102" spans="1:32" x14ac:dyDescent="0.2">
      <c r="A102" s="16" t="s">
        <v>53</v>
      </c>
      <c r="B102" s="13">
        <f t="shared" si="34"/>
        <v>99.829807248973424</v>
      </c>
      <c r="C102" s="13">
        <f t="shared" si="34"/>
        <v>98.284457069652163</v>
      </c>
      <c r="D102" s="13">
        <f t="shared" si="34"/>
        <v>96.98078059678862</v>
      </c>
      <c r="E102" s="13">
        <f t="shared" si="34"/>
        <v>93.369290420004774</v>
      </c>
      <c r="F102" s="13">
        <f t="shared" si="34"/>
        <v>86.915581301077168</v>
      </c>
      <c r="G102" s="13">
        <f t="shared" si="34"/>
        <v>84.175478009549366</v>
      </c>
      <c r="H102" s="13">
        <f t="shared" si="34"/>
        <v>81.01329669547566</v>
      </c>
      <c r="I102" s="13">
        <f t="shared" si="34"/>
        <v>73.507796375203839</v>
      </c>
      <c r="J102" s="13">
        <f t="shared" si="34"/>
        <v>71.125097860831843</v>
      </c>
      <c r="K102" s="13">
        <f t="shared" si="34"/>
        <v>56.876560744887257</v>
      </c>
      <c r="L102" s="13">
        <f t="shared" si="34"/>
        <v>51.763970504049048</v>
      </c>
      <c r="M102" s="13"/>
      <c r="N102" s="13">
        <f t="shared" si="35"/>
        <v>93.842426267858627</v>
      </c>
      <c r="O102" s="13">
        <f t="shared" si="35"/>
        <v>62.418036718312429</v>
      </c>
      <c r="P102" s="13">
        <f t="shared" si="35"/>
        <v>43.444948833870214</v>
      </c>
      <c r="Q102" s="13">
        <f t="shared" si="35"/>
        <v>29.005795836775874</v>
      </c>
      <c r="R102" s="13">
        <f t="shared" si="35"/>
        <v>25.087958708144185</v>
      </c>
      <c r="S102" s="13">
        <f t="shared" si="35"/>
        <v>18.242806261855478</v>
      </c>
      <c r="T102" s="13">
        <f t="shared" si="35"/>
        <v>19.342251433487135</v>
      </c>
      <c r="U102" s="13">
        <f t="shared" si="35"/>
        <v>12.357540931356624</v>
      </c>
      <c r="V102" s="13">
        <f t="shared" si="35"/>
        <v>13.998199051252783</v>
      </c>
      <c r="W102" s="13">
        <f t="shared" si="35"/>
        <v>16.026896643489508</v>
      </c>
      <c r="X102" s="13">
        <f t="shared" si="35"/>
        <v>11.993328444159772</v>
      </c>
      <c r="Y102" s="13"/>
      <c r="AA102" s="5" t="s">
        <v>12</v>
      </c>
      <c r="AB102" s="5" t="s">
        <v>130</v>
      </c>
      <c r="AC102" s="7" t="str" cm="1">
        <f t="array" ref="AC102">INDEX($B$10:$Y$25, INT((ROW(A93)-1)/24) + 1, MOD(ROW(A93)-1, 24) + 1)</f>
        <v>B4</v>
      </c>
      <c r="AD102" s="5">
        <v>1</v>
      </c>
      <c r="AE102" s="5" cm="1">
        <f t="array" ref="AE102">INDEX($B$29:$Y$44, INT((ROW(A93)-1)/24) + 1, MOD(ROW(A93)-1, 24) + 1)</f>
        <v>1.5241579027587257E-5</v>
      </c>
      <c r="AF102" s="5" cm="1">
        <f t="array" ref="AF102">INDEX($B$48:$Y$63, INT((ROW(A93)-1)/24) + 1, MOD(ROW(A93)-1, 24) + 1)</f>
        <v>162590</v>
      </c>
    </row>
    <row r="103" spans="1:32" x14ac:dyDescent="0.2">
      <c r="AA103" s="5" t="s">
        <v>12</v>
      </c>
      <c r="AB103" s="5" t="s">
        <v>131</v>
      </c>
      <c r="AC103" s="7" t="str" cm="1">
        <f t="array" ref="AC103">INDEX($B$10:$Y$25, INT((ROW(A94)-1)/24) + 1, MOD(ROW(A94)-1, 24) + 1)</f>
        <v>B4</v>
      </c>
      <c r="AD103" s="5">
        <v>1</v>
      </c>
      <c r="AE103" s="5" cm="1">
        <f t="array" ref="AE103">INDEX($B$29:$Y$44, INT((ROW(A94)-1)/24) + 1, MOD(ROW(A94)-1, 24) + 1)</f>
        <v>5.0805263425290855E-6</v>
      </c>
      <c r="AF103" s="5" cm="1">
        <f t="array" ref="AF103">INDEX($B$48:$Y$63, INT((ROW(A94)-1)/24) + 1, MOD(ROW(A94)-1, 24) + 1)</f>
        <v>150280</v>
      </c>
    </row>
    <row r="104" spans="1:32" x14ac:dyDescent="0.2">
      <c r="AA104" s="5" t="s">
        <v>12</v>
      </c>
      <c r="AB104" s="5" t="s">
        <v>132</v>
      </c>
      <c r="AC104" s="7" t="str" cm="1">
        <f t="array" ref="AC104">INDEX($B$10:$Y$25, INT((ROW(A95)-1)/24) + 1, MOD(ROW(A95)-1, 24) + 1)</f>
        <v>B4</v>
      </c>
      <c r="AD104" s="5">
        <v>1</v>
      </c>
      <c r="AE104" s="5" cm="1">
        <f t="array" ref="AE104">INDEX($B$29:$Y$44, INT((ROW(A95)-1)/24) + 1, MOD(ROW(A95)-1, 24) + 1)</f>
        <v>1.6935087808430284E-6</v>
      </c>
      <c r="AF104" s="5" cm="1">
        <f t="array" ref="AF104">INDEX($B$48:$Y$63, INT((ROW(A95)-1)/24) + 1, MOD(ROW(A95)-1, 24) + 1)</f>
        <v>140930</v>
      </c>
    </row>
    <row r="105" spans="1:32" x14ac:dyDescent="0.2">
      <c r="AA105" s="5" t="s">
        <v>12</v>
      </c>
      <c r="AB105" s="5" t="s">
        <v>133</v>
      </c>
      <c r="AC105" s="7"/>
      <c r="AD105" s="5"/>
      <c r="AE105" s="5" cm="1">
        <f t="array" ref="AE105">INDEX($B$29:$Y$44, INT((ROW(A96)-1)/24) + 1, MOD(ROW(A96)-1, 24) + 1)</f>
        <v>0</v>
      </c>
      <c r="AF105" s="5" cm="1">
        <f t="array" ref="AF105">INDEX($B$48:$Y$63, INT((ROW(A96)-1)/24) + 1, MOD(ROW(A96)-1, 24) + 1)</f>
        <v>810</v>
      </c>
    </row>
    <row r="106" spans="1:32" x14ac:dyDescent="0.2">
      <c r="AA106" s="5" t="s">
        <v>12</v>
      </c>
      <c r="AB106" s="5" t="s">
        <v>134</v>
      </c>
      <c r="AC106" s="7" t="str" cm="1">
        <f t="array" ref="AC106">INDEX($B$10:$Y$25, INT((ROW(A97)-1)/24) + 1, MOD(ROW(A97)-1, 24) + 1)</f>
        <v>PBS</v>
      </c>
      <c r="AD106" s="5">
        <v>1</v>
      </c>
      <c r="AE106" s="5" cm="1">
        <f t="array" ref="AE106">INDEX($B$29:$Y$44, INT((ROW(A97)-1)/24) + 1, MOD(ROW(A97)-1, 24) + 1)</f>
        <v>0</v>
      </c>
      <c r="AF106" s="5" cm="1">
        <f t="array" ref="AF106">INDEX($B$48:$Y$63, INT((ROW(A97)-1)/24) + 1, MOD(ROW(A97)-1, 24) + 1)</f>
        <v>151975</v>
      </c>
    </row>
    <row r="107" spans="1:32" x14ac:dyDescent="0.2">
      <c r="AA107" s="5" t="s">
        <v>12</v>
      </c>
      <c r="AB107" s="5" t="s">
        <v>135</v>
      </c>
      <c r="AC107" s="7" t="str" cm="1">
        <f t="array" ref="AC107">INDEX($B$10:$Y$25, INT((ROW(A98)-1)/24) + 1, MOD(ROW(A98)-1, 24) + 1)</f>
        <v>PBS</v>
      </c>
      <c r="AD107" s="5">
        <v>1</v>
      </c>
      <c r="AE107" s="5" cm="1">
        <f t="array" ref="AE107">INDEX($B$29:$Y$44, INT((ROW(A98)-1)/24) + 1, MOD(ROW(A98)-1, 24) + 1)</f>
        <v>0</v>
      </c>
      <c r="AF107" s="5" cm="1">
        <f t="array" ref="AF107">INDEX($B$48:$Y$63, INT((ROW(A98)-1)/24) + 1, MOD(ROW(A98)-1, 24) + 1)</f>
        <v>148610</v>
      </c>
    </row>
    <row r="108" spans="1:32" x14ac:dyDescent="0.2">
      <c r="AA108" s="5" t="s">
        <v>12</v>
      </c>
      <c r="AB108" s="5" t="s">
        <v>136</v>
      </c>
      <c r="AC108" s="7" t="str" cm="1">
        <f t="array" ref="AC108">INDEX($B$10:$Y$25, INT((ROW(A99)-1)/24) + 1, MOD(ROW(A99)-1, 24) + 1)</f>
        <v>PBS</v>
      </c>
      <c r="AD108" s="5">
        <v>1</v>
      </c>
      <c r="AE108" s="5" cm="1">
        <f t="array" ref="AE108">INDEX($B$29:$Y$44, INT((ROW(A99)-1)/24) + 1, MOD(ROW(A99)-1, 24) + 1)</f>
        <v>0</v>
      </c>
      <c r="AF108" s="5" cm="1">
        <f t="array" ref="AF108">INDEX($B$48:$Y$63, INT((ROW(A99)-1)/24) + 1, MOD(ROW(A99)-1, 24) + 1)</f>
        <v>154975</v>
      </c>
    </row>
    <row r="109" spans="1:32" x14ac:dyDescent="0.2">
      <c r="AA109" s="5" t="s">
        <v>12</v>
      </c>
      <c r="AB109" s="5" t="s">
        <v>137</v>
      </c>
      <c r="AC109" s="7" t="str" cm="1">
        <f t="array" ref="AC109">INDEX($B$10:$Y$25, INT((ROW(A100)-1)/24) + 1, MOD(ROW(A100)-1, 24) + 1)</f>
        <v>PBS</v>
      </c>
      <c r="AD109" s="5">
        <v>1</v>
      </c>
      <c r="AE109" s="5" cm="1">
        <f t="array" ref="AE109">INDEX($B$29:$Y$44, INT((ROW(A100)-1)/24) + 1, MOD(ROW(A100)-1, 24) + 1)</f>
        <v>0</v>
      </c>
      <c r="AF109" s="5" cm="1">
        <f t="array" ref="AF109">INDEX($B$48:$Y$63, INT((ROW(A100)-1)/24) + 1, MOD(ROW(A100)-1, 24) + 1)</f>
        <v>153760</v>
      </c>
    </row>
    <row r="110" spans="1:32" x14ac:dyDescent="0.2">
      <c r="AA110" s="5" t="s">
        <v>12</v>
      </c>
      <c r="AB110" s="5" t="s">
        <v>138</v>
      </c>
      <c r="AC110" s="7" t="str" cm="1">
        <f t="array" ref="AC110">INDEX($B$10:$Y$25, INT((ROW(A101)-1)/24) + 1, MOD(ROW(A101)-1, 24) + 1)</f>
        <v>PBS</v>
      </c>
      <c r="AD110" s="5">
        <v>1</v>
      </c>
      <c r="AE110" s="5" cm="1">
        <f t="array" ref="AE110">INDEX($B$29:$Y$44, INT((ROW(A101)-1)/24) + 1, MOD(ROW(A101)-1, 24) + 1)</f>
        <v>0</v>
      </c>
      <c r="AF110" s="5" cm="1">
        <f t="array" ref="AF110">INDEX($B$48:$Y$63, INT((ROW(A101)-1)/24) + 1, MOD(ROW(A101)-1, 24) + 1)</f>
        <v>151150</v>
      </c>
    </row>
    <row r="111" spans="1:32" x14ac:dyDescent="0.2">
      <c r="AA111" s="5" t="s">
        <v>12</v>
      </c>
      <c r="AB111" s="5" t="s">
        <v>139</v>
      </c>
      <c r="AC111" s="7" t="str" cm="1">
        <f t="array" ref="AC111">INDEX($B$10:$Y$25, INT((ROW(A102)-1)/24) + 1, MOD(ROW(A102)-1, 24) + 1)</f>
        <v>PBS</v>
      </c>
      <c r="AD111" s="5">
        <v>1</v>
      </c>
      <c r="AE111" s="5" cm="1">
        <f t="array" ref="AE111">INDEX($B$29:$Y$44, INT((ROW(A102)-1)/24) + 1, MOD(ROW(A102)-1, 24) + 1)</f>
        <v>0</v>
      </c>
      <c r="AF111" s="5" cm="1">
        <f t="array" ref="AF111">INDEX($B$48:$Y$63, INT((ROW(A102)-1)/24) + 1, MOD(ROW(A102)-1, 24) + 1)</f>
        <v>156820</v>
      </c>
    </row>
    <row r="112" spans="1:32" x14ac:dyDescent="0.2">
      <c r="AA112" s="5" t="s">
        <v>12</v>
      </c>
      <c r="AB112" s="5" t="s">
        <v>140</v>
      </c>
      <c r="AC112" s="7" t="str" cm="1">
        <f t="array" ref="AC112">INDEX($B$10:$Y$25, INT((ROW(A103)-1)/24) + 1, MOD(ROW(A103)-1, 24) + 1)</f>
        <v>PBS</v>
      </c>
      <c r="AD112" s="5">
        <v>1</v>
      </c>
      <c r="AE112" s="5" cm="1">
        <f t="array" ref="AE112">INDEX($B$29:$Y$44, INT((ROW(A103)-1)/24) + 1, MOD(ROW(A103)-1, 24) + 1)</f>
        <v>0</v>
      </c>
      <c r="AF112" s="5" cm="1">
        <f t="array" ref="AF112">INDEX($B$48:$Y$63, INT((ROW(A103)-1)/24) + 1, MOD(ROW(A103)-1, 24) + 1)</f>
        <v>145855</v>
      </c>
    </row>
    <row r="113" spans="27:32" x14ac:dyDescent="0.2">
      <c r="AA113" s="5" t="s">
        <v>12</v>
      </c>
      <c r="AB113" s="5" t="s">
        <v>141</v>
      </c>
      <c r="AC113" s="7" t="str" cm="1">
        <f t="array" ref="AC113">INDEX($B$10:$Y$25, INT((ROW(A104)-1)/24) + 1, MOD(ROW(A104)-1, 24) + 1)</f>
        <v>PBS</v>
      </c>
      <c r="AD113" s="5">
        <v>1</v>
      </c>
      <c r="AE113" s="5" cm="1">
        <f t="array" ref="AE113">INDEX($B$29:$Y$44, INT((ROW(A104)-1)/24) + 1, MOD(ROW(A104)-1, 24) + 1)</f>
        <v>0</v>
      </c>
      <c r="AF113" s="5" cm="1">
        <f t="array" ref="AF113">INDEX($B$48:$Y$63, INT((ROW(A104)-1)/24) + 1, MOD(ROW(A104)-1, 24) + 1)</f>
        <v>148785</v>
      </c>
    </row>
    <row r="114" spans="27:32" x14ac:dyDescent="0.2">
      <c r="AA114" s="5" t="s">
        <v>12</v>
      </c>
      <c r="AB114" s="5" t="s">
        <v>142</v>
      </c>
      <c r="AC114" s="7" t="str" cm="1">
        <f t="array" ref="AC114">INDEX($B$10:$Y$25, INT((ROW(A105)-1)/24) + 1, MOD(ROW(A105)-1, 24) + 1)</f>
        <v>PBS</v>
      </c>
      <c r="AD114" s="5">
        <v>1</v>
      </c>
      <c r="AE114" s="5" cm="1">
        <f t="array" ref="AE114">INDEX($B$29:$Y$44, INT((ROW(A105)-1)/24) + 1, MOD(ROW(A105)-1, 24) + 1)</f>
        <v>0</v>
      </c>
      <c r="AF114" s="5" cm="1">
        <f t="array" ref="AF114">INDEX($B$48:$Y$63, INT((ROW(A105)-1)/24) + 1, MOD(ROW(A105)-1, 24) + 1)</f>
        <v>142825</v>
      </c>
    </row>
    <row r="115" spans="27:32" x14ac:dyDescent="0.2">
      <c r="AA115" s="5" t="s">
        <v>12</v>
      </c>
      <c r="AB115" s="5" t="s">
        <v>143</v>
      </c>
      <c r="AC115" s="7" t="str" cm="1">
        <f t="array" ref="AC115">INDEX($B$10:$Y$25, INT((ROW(A106)-1)/24) + 1, MOD(ROW(A106)-1, 24) + 1)</f>
        <v>PBS</v>
      </c>
      <c r="AD115" s="5">
        <v>1</v>
      </c>
      <c r="AE115" s="5" cm="1">
        <f t="array" ref="AE115">INDEX($B$29:$Y$44, INT((ROW(A106)-1)/24) + 1, MOD(ROW(A106)-1, 24) + 1)</f>
        <v>0</v>
      </c>
      <c r="AF115" s="5" cm="1">
        <f t="array" ref="AF115">INDEX($B$48:$Y$63, INT((ROW(A106)-1)/24) + 1, MOD(ROW(A106)-1, 24) + 1)</f>
        <v>147010</v>
      </c>
    </row>
    <row r="116" spans="27:32" x14ac:dyDescent="0.2">
      <c r="AA116" s="5" t="s">
        <v>12</v>
      </c>
      <c r="AB116" s="5" t="s">
        <v>144</v>
      </c>
      <c r="AC116" s="7" t="str" cm="1">
        <f t="array" ref="AC116">INDEX($B$10:$Y$25, INT((ROW(A107)-1)/24) + 1, MOD(ROW(A107)-1, 24) + 1)</f>
        <v>PBS</v>
      </c>
      <c r="AD116" s="5">
        <v>1</v>
      </c>
      <c r="AE116" s="5" cm="1">
        <f t="array" ref="AE116">INDEX($B$29:$Y$44, INT((ROW(A107)-1)/24) + 1, MOD(ROW(A107)-1, 24) + 1)</f>
        <v>0</v>
      </c>
      <c r="AF116" s="5" cm="1">
        <f t="array" ref="AF116">INDEX($B$48:$Y$63, INT((ROW(A107)-1)/24) + 1, MOD(ROW(A107)-1, 24) + 1)</f>
        <v>149480</v>
      </c>
    </row>
    <row r="117" spans="27:32" x14ac:dyDescent="0.2">
      <c r="AA117" s="5" t="s">
        <v>12</v>
      </c>
      <c r="AB117" s="5" t="s">
        <v>145</v>
      </c>
      <c r="AC117" s="7"/>
      <c r="AD117" s="5"/>
      <c r="AE117" s="5" cm="1">
        <f t="array" ref="AE117">INDEX($B$29:$Y$44, INT((ROW(A108)-1)/24) + 1, MOD(ROW(A108)-1, 24) + 1)</f>
        <v>0</v>
      </c>
      <c r="AF117" s="5" cm="1">
        <f t="array" ref="AF117">INDEX($B$48:$Y$63, INT((ROW(A108)-1)/24) + 1, MOD(ROW(A108)-1, 24) + 1)</f>
        <v>1275</v>
      </c>
    </row>
    <row r="118" spans="27:32" x14ac:dyDescent="0.2">
      <c r="AA118" s="5" t="s">
        <v>12</v>
      </c>
      <c r="AB118" s="5" t="s">
        <v>146</v>
      </c>
      <c r="AC118" s="7" t="str" cm="1">
        <f t="array" ref="AC118">INDEX($B$10:$Y$25, INT((ROW(A109)-1)/24) + 1, MOD(ROW(A109)-1, 24) + 1)</f>
        <v>B6</v>
      </c>
      <c r="AD118" s="5">
        <v>1</v>
      </c>
      <c r="AE118" s="5" cm="1">
        <f t="array" ref="AE118">INDEX($B$29:$Y$44, INT((ROW(A109)-1)/24) + 1, MOD(ROW(A109)-1, 24) + 1)</f>
        <v>0.3</v>
      </c>
      <c r="AF118" s="5" cm="1">
        <f t="array" ref="AF118">INDEX($B$48:$Y$63, INT((ROW(A109)-1)/24) + 1, MOD(ROW(A109)-1, 24) + 1)</f>
        <v>100385</v>
      </c>
    </row>
    <row r="119" spans="27:32" x14ac:dyDescent="0.2">
      <c r="AA119" s="5" t="s">
        <v>12</v>
      </c>
      <c r="AB119" s="5" t="s">
        <v>147</v>
      </c>
      <c r="AC119" s="7" t="str" cm="1">
        <f t="array" ref="AC119">INDEX($B$10:$Y$25, INT((ROW(A110)-1)/24) + 1, MOD(ROW(A110)-1, 24) + 1)</f>
        <v>B6</v>
      </c>
      <c r="AD119" s="5">
        <v>1</v>
      </c>
      <c r="AE119" s="5" cm="1">
        <f t="array" ref="AE119">INDEX($B$29:$Y$44, INT((ROW(A110)-1)/24) + 1, MOD(ROW(A110)-1, 24) + 1)</f>
        <v>9.9999999999999992E-2</v>
      </c>
      <c r="AF119" s="5" cm="1">
        <f t="array" ref="AF119">INDEX($B$48:$Y$63, INT((ROW(A110)-1)/24) + 1, MOD(ROW(A110)-1, 24) + 1)</f>
        <v>158635</v>
      </c>
    </row>
    <row r="120" spans="27:32" x14ac:dyDescent="0.2">
      <c r="AA120" s="5" t="s">
        <v>12</v>
      </c>
      <c r="AB120" s="5" t="s">
        <v>148</v>
      </c>
      <c r="AC120" s="7" t="str" cm="1">
        <f t="array" ref="AC120">INDEX($B$10:$Y$25, INT((ROW(A111)-1)/24) + 1, MOD(ROW(A111)-1, 24) + 1)</f>
        <v>B6</v>
      </c>
      <c r="AD120" s="5">
        <v>1</v>
      </c>
      <c r="AE120" s="5" cm="1">
        <f t="array" ref="AE120">INDEX($B$29:$Y$44, INT((ROW(A111)-1)/24) + 1, MOD(ROW(A111)-1, 24) + 1)</f>
        <v>3.3333333333333333E-2</v>
      </c>
      <c r="AF120" s="5" cm="1">
        <f t="array" ref="AF120">INDEX($B$48:$Y$63, INT((ROW(A111)-1)/24) + 1, MOD(ROW(A111)-1, 24) + 1)</f>
        <v>147440</v>
      </c>
    </row>
    <row r="121" spans="27:32" x14ac:dyDescent="0.2">
      <c r="AA121" s="5" t="s">
        <v>12</v>
      </c>
      <c r="AB121" s="5" t="s">
        <v>149</v>
      </c>
      <c r="AC121" s="7" t="str" cm="1">
        <f t="array" ref="AC121">INDEX($B$10:$Y$25, INT((ROW(A112)-1)/24) + 1, MOD(ROW(A112)-1, 24) + 1)</f>
        <v>B6</v>
      </c>
      <c r="AD121" s="5">
        <v>1</v>
      </c>
      <c r="AE121" s="5" cm="1">
        <f t="array" ref="AE121">INDEX($B$29:$Y$44, INT((ROW(A112)-1)/24) + 1, MOD(ROW(A112)-1, 24) + 1)</f>
        <v>1.1111111111111112E-2</v>
      </c>
      <c r="AF121" s="5" cm="1">
        <f t="array" ref="AF121">INDEX($B$48:$Y$63, INT((ROW(A112)-1)/24) + 1, MOD(ROW(A112)-1, 24) + 1)</f>
        <v>151375</v>
      </c>
    </row>
    <row r="122" spans="27:32" x14ac:dyDescent="0.2">
      <c r="AA122" s="5" t="s">
        <v>12</v>
      </c>
      <c r="AB122" s="5" t="s">
        <v>150</v>
      </c>
      <c r="AC122" s="7" t="str" cm="1">
        <f t="array" ref="AC122">INDEX($B$10:$Y$25, INT((ROW(A113)-1)/24) + 1, MOD(ROW(A113)-1, 24) + 1)</f>
        <v>B6</v>
      </c>
      <c r="AD122" s="5">
        <v>1</v>
      </c>
      <c r="AE122" s="5" cm="1">
        <f t="array" ref="AE122">INDEX($B$29:$Y$44, INT((ROW(A113)-1)/24) + 1, MOD(ROW(A113)-1, 24) + 1)</f>
        <v>3.7037037037037038E-3</v>
      </c>
      <c r="AF122" s="5" cm="1">
        <f t="array" ref="AF122">INDEX($B$48:$Y$63, INT((ROW(A113)-1)/24) + 1, MOD(ROW(A113)-1, 24) + 1)</f>
        <v>151885</v>
      </c>
    </row>
    <row r="123" spans="27:32" x14ac:dyDescent="0.2">
      <c r="AA123" s="5" t="s">
        <v>12</v>
      </c>
      <c r="AB123" s="5" t="s">
        <v>151</v>
      </c>
      <c r="AC123" s="7" t="str" cm="1">
        <f t="array" ref="AC123">INDEX($B$10:$Y$25, INT((ROW(A114)-1)/24) + 1, MOD(ROW(A114)-1, 24) + 1)</f>
        <v>B6</v>
      </c>
      <c r="AD123" s="5">
        <v>1</v>
      </c>
      <c r="AE123" s="5" cm="1">
        <f t="array" ref="AE123">INDEX($B$29:$Y$44, INT((ROW(A114)-1)/24) + 1, MOD(ROW(A114)-1, 24) + 1)</f>
        <v>1.2345679012345679E-3</v>
      </c>
      <c r="AF123" s="5" cm="1">
        <f t="array" ref="AF123">INDEX($B$48:$Y$63, INT((ROW(A114)-1)/24) + 1, MOD(ROW(A114)-1, 24) + 1)</f>
        <v>156285</v>
      </c>
    </row>
    <row r="124" spans="27:32" x14ac:dyDescent="0.2">
      <c r="AA124" s="5" t="s">
        <v>12</v>
      </c>
      <c r="AB124" s="5" t="s">
        <v>152</v>
      </c>
      <c r="AC124" s="7" t="str" cm="1">
        <f t="array" ref="AC124">INDEX($B$10:$Y$25, INT((ROW(A115)-1)/24) + 1, MOD(ROW(A115)-1, 24) + 1)</f>
        <v>B6</v>
      </c>
      <c r="AD124" s="5">
        <v>1</v>
      </c>
      <c r="AE124" s="5" cm="1">
        <f t="array" ref="AE124">INDEX($B$29:$Y$44, INT((ROW(A115)-1)/24) + 1, MOD(ROW(A115)-1, 24) + 1)</f>
        <v>4.1152263374485596E-4</v>
      </c>
      <c r="AF124" s="5" cm="1">
        <f t="array" ref="AF124">INDEX($B$48:$Y$63, INT((ROW(A115)-1)/24) + 1, MOD(ROW(A115)-1, 24) + 1)</f>
        <v>151450</v>
      </c>
    </row>
    <row r="125" spans="27:32" x14ac:dyDescent="0.2">
      <c r="AA125" s="5" t="s">
        <v>12</v>
      </c>
      <c r="AB125" s="5" t="s">
        <v>153</v>
      </c>
      <c r="AC125" s="7" t="str" cm="1">
        <f t="array" ref="AC125">INDEX($B$10:$Y$25, INT((ROW(A116)-1)/24) + 1, MOD(ROW(A116)-1, 24) + 1)</f>
        <v>B6</v>
      </c>
      <c r="AD125" s="5">
        <v>1</v>
      </c>
      <c r="AE125" s="5" cm="1">
        <f t="array" ref="AE125">INDEX($B$29:$Y$44, INT((ROW(A116)-1)/24) + 1, MOD(ROW(A116)-1, 24) + 1)</f>
        <v>1.3717421124828533E-4</v>
      </c>
      <c r="AF125" s="5" cm="1">
        <f t="array" ref="AF125">INDEX($B$48:$Y$63, INT((ROW(A116)-1)/24) + 1, MOD(ROW(A116)-1, 24) + 1)</f>
        <v>158345</v>
      </c>
    </row>
    <row r="126" spans="27:32" x14ac:dyDescent="0.2">
      <c r="AA126" s="5" t="s">
        <v>12</v>
      </c>
      <c r="AB126" s="5" t="s">
        <v>154</v>
      </c>
      <c r="AC126" s="7" t="str" cm="1">
        <f t="array" ref="AC126">INDEX($B$10:$Y$25, INT((ROW(A117)-1)/24) + 1, MOD(ROW(A117)-1, 24) + 1)</f>
        <v>B6</v>
      </c>
      <c r="AD126" s="5">
        <v>1</v>
      </c>
      <c r="AE126" s="5" cm="1">
        <f t="array" ref="AE126">INDEX($B$29:$Y$44, INT((ROW(A117)-1)/24) + 1, MOD(ROW(A117)-1, 24) + 1)</f>
        <v>4.5724737082761774E-5</v>
      </c>
      <c r="AF126" s="5" cm="1">
        <f t="array" ref="AF126">INDEX($B$48:$Y$63, INT((ROW(A117)-1)/24) + 1, MOD(ROW(A117)-1, 24) + 1)</f>
        <v>157360</v>
      </c>
    </row>
    <row r="127" spans="27:32" x14ac:dyDescent="0.2">
      <c r="AA127" s="5" t="s">
        <v>12</v>
      </c>
      <c r="AB127" s="5" t="s">
        <v>155</v>
      </c>
      <c r="AC127" s="7" t="str" cm="1">
        <f t="array" ref="AC127">INDEX($B$10:$Y$25, INT((ROW(A118)-1)/24) + 1, MOD(ROW(A118)-1, 24) + 1)</f>
        <v>B6</v>
      </c>
      <c r="AD127" s="5">
        <v>1</v>
      </c>
      <c r="AE127" s="5" cm="1">
        <f t="array" ref="AE127">INDEX($B$29:$Y$44, INT((ROW(A118)-1)/24) + 1, MOD(ROW(A118)-1, 24) + 1)</f>
        <v>1.5241579027587257E-5</v>
      </c>
      <c r="AF127" s="5" cm="1">
        <f t="array" ref="AF127">INDEX($B$48:$Y$63, INT((ROW(A118)-1)/24) + 1, MOD(ROW(A118)-1, 24) + 1)</f>
        <v>138260</v>
      </c>
    </row>
    <row r="128" spans="27:32" x14ac:dyDescent="0.2">
      <c r="AA128" s="5" t="s">
        <v>12</v>
      </c>
      <c r="AB128" s="5" t="s">
        <v>156</v>
      </c>
      <c r="AC128" s="7" t="str" cm="1">
        <f t="array" ref="AC128">INDEX($B$10:$Y$25, INT((ROW(A119)-1)/24) + 1, MOD(ROW(A119)-1, 24) + 1)</f>
        <v>B6</v>
      </c>
      <c r="AD128" s="5">
        <v>1</v>
      </c>
      <c r="AE128" s="5" cm="1">
        <f t="array" ref="AE128">INDEX($B$29:$Y$44, INT((ROW(A119)-1)/24) + 1, MOD(ROW(A119)-1, 24) + 1)</f>
        <v>5.0805263425290855E-6</v>
      </c>
      <c r="AF128" s="5" cm="1">
        <f t="array" ref="AF128">INDEX($B$48:$Y$63, INT((ROW(A119)-1)/24) + 1, MOD(ROW(A119)-1, 24) + 1)</f>
        <v>143710</v>
      </c>
    </row>
    <row r="129" spans="27:32" x14ac:dyDescent="0.2">
      <c r="AA129" s="5" t="s">
        <v>12</v>
      </c>
      <c r="AB129" s="5" t="s">
        <v>157</v>
      </c>
      <c r="AC129" s="7"/>
      <c r="AD129" s="5"/>
      <c r="AE129" s="5" cm="1">
        <f t="array" ref="AE129">INDEX($B$29:$Y$44, INT((ROW(A120)-1)/24) + 1, MOD(ROW(A120)-1, 24) + 1)</f>
        <v>0</v>
      </c>
      <c r="AF129" s="5" cm="1">
        <f t="array" ref="AF129">INDEX($B$48:$Y$63, INT((ROW(A120)-1)/24) + 1, MOD(ROW(A120)-1, 24) + 1)</f>
        <v>795</v>
      </c>
    </row>
    <row r="130" spans="27:32" x14ac:dyDescent="0.2">
      <c r="AA130" s="5" t="s">
        <v>12</v>
      </c>
      <c r="AB130" s="5" t="s">
        <v>158</v>
      </c>
      <c r="AC130" s="7" t="str" cm="1">
        <f t="array" ref="AC130">INDEX($B$10:$Y$25, INT((ROW(A121)-1)/24) + 1, MOD(ROW(A121)-1, 24) + 1)</f>
        <v>PBS</v>
      </c>
      <c r="AD130" s="5">
        <v>1</v>
      </c>
      <c r="AE130" s="5" cm="1">
        <f t="array" ref="AE130">INDEX($B$29:$Y$44, INT((ROW(A121)-1)/24) + 1, MOD(ROW(A121)-1, 24) + 1)</f>
        <v>0</v>
      </c>
      <c r="AF130" s="5" cm="1">
        <f t="array" ref="AF130">INDEX($B$48:$Y$63, INT((ROW(A121)-1)/24) + 1, MOD(ROW(A121)-1, 24) + 1)</f>
        <v>148760</v>
      </c>
    </row>
    <row r="131" spans="27:32" x14ac:dyDescent="0.2">
      <c r="AA131" s="5" t="s">
        <v>12</v>
      </c>
      <c r="AB131" s="5" t="s">
        <v>159</v>
      </c>
      <c r="AC131" s="7" t="str" cm="1">
        <f t="array" ref="AC131">INDEX($B$10:$Y$25, INT((ROW(A122)-1)/24) + 1, MOD(ROW(A122)-1, 24) + 1)</f>
        <v>PBS</v>
      </c>
      <c r="AD131" s="5">
        <v>1</v>
      </c>
      <c r="AE131" s="5" cm="1">
        <f t="array" ref="AE131">INDEX($B$29:$Y$44, INT((ROW(A122)-1)/24) + 1, MOD(ROW(A122)-1, 24) + 1)</f>
        <v>0</v>
      </c>
      <c r="AF131" s="5" cm="1">
        <f t="array" ref="AF131">INDEX($B$48:$Y$63, INT((ROW(A122)-1)/24) + 1, MOD(ROW(A122)-1, 24) + 1)</f>
        <v>141710</v>
      </c>
    </row>
    <row r="132" spans="27:32" x14ac:dyDescent="0.2">
      <c r="AA132" s="5" t="s">
        <v>12</v>
      </c>
      <c r="AB132" s="5" t="s">
        <v>160</v>
      </c>
      <c r="AC132" s="7" t="str" cm="1">
        <f t="array" ref="AC132">INDEX($B$10:$Y$25, INT((ROW(A123)-1)/24) + 1, MOD(ROW(A123)-1, 24) + 1)</f>
        <v>PBS</v>
      </c>
      <c r="AD132" s="5">
        <v>1</v>
      </c>
      <c r="AE132" s="5" cm="1">
        <f t="array" ref="AE132">INDEX($B$29:$Y$44, INT((ROW(A123)-1)/24) + 1, MOD(ROW(A123)-1, 24) + 1)</f>
        <v>0</v>
      </c>
      <c r="AF132" s="5" cm="1">
        <f t="array" ref="AF132">INDEX($B$48:$Y$63, INT((ROW(A123)-1)/24) + 1, MOD(ROW(A123)-1, 24) + 1)</f>
        <v>148930</v>
      </c>
    </row>
    <row r="133" spans="27:32" x14ac:dyDescent="0.2">
      <c r="AA133" s="5" t="s">
        <v>12</v>
      </c>
      <c r="AB133" s="5" t="s">
        <v>161</v>
      </c>
      <c r="AC133" s="7" t="str" cm="1">
        <f t="array" ref="AC133">INDEX($B$10:$Y$25, INT((ROW(A124)-1)/24) + 1, MOD(ROW(A124)-1, 24) + 1)</f>
        <v>PBS</v>
      </c>
      <c r="AD133" s="5">
        <v>1</v>
      </c>
      <c r="AE133" s="5" cm="1">
        <f t="array" ref="AE133">INDEX($B$29:$Y$44, INT((ROW(A124)-1)/24) + 1, MOD(ROW(A124)-1, 24) + 1)</f>
        <v>0</v>
      </c>
      <c r="AF133" s="5" cm="1">
        <f t="array" ref="AF133">INDEX($B$48:$Y$63, INT((ROW(A124)-1)/24) + 1, MOD(ROW(A124)-1, 24) + 1)</f>
        <v>149550</v>
      </c>
    </row>
    <row r="134" spans="27:32" x14ac:dyDescent="0.2">
      <c r="AA134" s="5" t="s">
        <v>12</v>
      </c>
      <c r="AB134" s="5" t="s">
        <v>162</v>
      </c>
      <c r="AC134" s="7" t="str" cm="1">
        <f t="array" ref="AC134">INDEX($B$10:$Y$25, INT((ROW(A125)-1)/24) + 1, MOD(ROW(A125)-1, 24) + 1)</f>
        <v>PBS</v>
      </c>
      <c r="AD134" s="5">
        <v>1</v>
      </c>
      <c r="AE134" s="5" cm="1">
        <f t="array" ref="AE134">INDEX($B$29:$Y$44, INT((ROW(A125)-1)/24) + 1, MOD(ROW(A125)-1, 24) + 1)</f>
        <v>0</v>
      </c>
      <c r="AF134" s="5" cm="1">
        <f t="array" ref="AF134">INDEX($B$48:$Y$63, INT((ROW(A125)-1)/24) + 1, MOD(ROW(A125)-1, 24) + 1)</f>
        <v>146965</v>
      </c>
    </row>
    <row r="135" spans="27:32" x14ac:dyDescent="0.2">
      <c r="AA135" s="5" t="s">
        <v>12</v>
      </c>
      <c r="AB135" s="5" t="s">
        <v>163</v>
      </c>
      <c r="AC135" s="7" t="str" cm="1">
        <f t="array" ref="AC135">INDEX($B$10:$Y$25, INT((ROW(A126)-1)/24) + 1, MOD(ROW(A126)-1, 24) + 1)</f>
        <v>PBS</v>
      </c>
      <c r="AD135" s="5">
        <v>1</v>
      </c>
      <c r="AE135" s="5" cm="1">
        <f t="array" ref="AE135">INDEX($B$29:$Y$44, INT((ROW(A126)-1)/24) + 1, MOD(ROW(A126)-1, 24) + 1)</f>
        <v>0</v>
      </c>
      <c r="AF135" s="5" cm="1">
        <f t="array" ref="AF135">INDEX($B$48:$Y$63, INT((ROW(A126)-1)/24) + 1, MOD(ROW(A126)-1, 24) + 1)</f>
        <v>147920</v>
      </c>
    </row>
    <row r="136" spans="27:32" x14ac:dyDescent="0.2">
      <c r="AA136" s="5" t="s">
        <v>12</v>
      </c>
      <c r="AB136" s="5" t="s">
        <v>164</v>
      </c>
      <c r="AC136" s="7" t="str" cm="1">
        <f t="array" ref="AC136">INDEX($B$10:$Y$25, INT((ROW(A127)-1)/24) + 1, MOD(ROW(A127)-1, 24) + 1)</f>
        <v>PBS</v>
      </c>
      <c r="AD136" s="5">
        <v>1</v>
      </c>
      <c r="AE136" s="5" cm="1">
        <f t="array" ref="AE136">INDEX($B$29:$Y$44, INT((ROW(A127)-1)/24) + 1, MOD(ROW(A127)-1, 24) + 1)</f>
        <v>0</v>
      </c>
      <c r="AF136" s="5" cm="1">
        <f t="array" ref="AF136">INDEX($B$48:$Y$63, INT((ROW(A127)-1)/24) + 1, MOD(ROW(A127)-1, 24) + 1)</f>
        <v>153105</v>
      </c>
    </row>
    <row r="137" spans="27:32" x14ac:dyDescent="0.2">
      <c r="AA137" s="5" t="s">
        <v>12</v>
      </c>
      <c r="AB137" s="5" t="s">
        <v>165</v>
      </c>
      <c r="AC137" s="7" t="str" cm="1">
        <f t="array" ref="AC137">INDEX($B$10:$Y$25, INT((ROW(A128)-1)/24) + 1, MOD(ROW(A128)-1, 24) + 1)</f>
        <v>PBS</v>
      </c>
      <c r="AD137" s="5">
        <v>1</v>
      </c>
      <c r="AE137" s="5" cm="1">
        <f t="array" ref="AE137">INDEX($B$29:$Y$44, INT((ROW(A128)-1)/24) + 1, MOD(ROW(A128)-1, 24) + 1)</f>
        <v>0</v>
      </c>
      <c r="AF137" s="5" cm="1">
        <f t="array" ref="AF137">INDEX($B$48:$Y$63, INT((ROW(A128)-1)/24) + 1, MOD(ROW(A128)-1, 24) + 1)</f>
        <v>150015</v>
      </c>
    </row>
    <row r="138" spans="27:32" x14ac:dyDescent="0.2">
      <c r="AA138" s="5" t="s">
        <v>12</v>
      </c>
      <c r="AB138" s="5" t="s">
        <v>166</v>
      </c>
      <c r="AC138" s="7" t="str" cm="1">
        <f t="array" ref="AC138">INDEX($B$10:$Y$25, INT((ROW(A129)-1)/24) + 1, MOD(ROW(A129)-1, 24) + 1)</f>
        <v>PBS</v>
      </c>
      <c r="AD138" s="5">
        <v>1</v>
      </c>
      <c r="AE138" s="5" cm="1">
        <f t="array" ref="AE138">INDEX($B$29:$Y$44, INT((ROW(A129)-1)/24) + 1, MOD(ROW(A129)-1, 24) + 1)</f>
        <v>0</v>
      </c>
      <c r="AF138" s="5" cm="1">
        <f t="array" ref="AF138">INDEX($B$48:$Y$63, INT((ROW(A129)-1)/24) + 1, MOD(ROW(A129)-1, 24) + 1)</f>
        <v>149955</v>
      </c>
    </row>
    <row r="139" spans="27:32" x14ac:dyDescent="0.2">
      <c r="AA139" s="5" t="s">
        <v>12</v>
      </c>
      <c r="AB139" s="5" t="s">
        <v>167</v>
      </c>
      <c r="AC139" s="7" t="str" cm="1">
        <f t="array" ref="AC139">INDEX($B$10:$Y$25, INT((ROW(A130)-1)/24) + 1, MOD(ROW(A130)-1, 24) + 1)</f>
        <v>PBS</v>
      </c>
      <c r="AD139" s="5">
        <v>1</v>
      </c>
      <c r="AE139" s="5" cm="1">
        <f t="array" ref="AE139">INDEX($B$29:$Y$44, INT((ROW(A130)-1)/24) + 1, MOD(ROW(A130)-1, 24) + 1)</f>
        <v>0</v>
      </c>
      <c r="AF139" s="5" cm="1">
        <f t="array" ref="AF139">INDEX($B$48:$Y$63, INT((ROW(A130)-1)/24) + 1, MOD(ROW(A130)-1, 24) + 1)</f>
        <v>142155</v>
      </c>
    </row>
    <row r="140" spans="27:32" x14ac:dyDescent="0.2">
      <c r="AA140" s="5" t="s">
        <v>12</v>
      </c>
      <c r="AB140" s="5" t="s">
        <v>168</v>
      </c>
      <c r="AC140" s="7" t="str" cm="1">
        <f t="array" ref="AC140">INDEX($B$10:$Y$25, INT((ROW(A131)-1)/24) + 1, MOD(ROW(A131)-1, 24) + 1)</f>
        <v>PBS</v>
      </c>
      <c r="AD140" s="5">
        <v>1</v>
      </c>
      <c r="AE140" s="5" cm="1">
        <f t="array" ref="AE140">INDEX($B$29:$Y$44, INT((ROW(A131)-1)/24) + 1, MOD(ROW(A131)-1, 24) + 1)</f>
        <v>0</v>
      </c>
      <c r="AF140" s="5" cm="1">
        <f t="array" ref="AF140">INDEX($B$48:$Y$63, INT((ROW(A131)-1)/24) + 1, MOD(ROW(A131)-1, 24) + 1)</f>
        <v>153405</v>
      </c>
    </row>
    <row r="141" spans="27:32" x14ac:dyDescent="0.2">
      <c r="AA141" s="5" t="s">
        <v>12</v>
      </c>
      <c r="AB141" s="5" t="s">
        <v>169</v>
      </c>
      <c r="AC141" s="7"/>
      <c r="AD141" s="5"/>
      <c r="AE141" s="5" cm="1">
        <f t="array" ref="AE141">INDEX($B$29:$Y$44, INT((ROW(A132)-1)/24) + 1, MOD(ROW(A132)-1, 24) + 1)</f>
        <v>0</v>
      </c>
      <c r="AF141" s="5" cm="1">
        <f t="array" ref="AF141">INDEX($B$48:$Y$63, INT((ROW(A132)-1)/24) + 1, MOD(ROW(A132)-1, 24) + 1)</f>
        <v>1050</v>
      </c>
    </row>
    <row r="142" spans="27:32" x14ac:dyDescent="0.2">
      <c r="AA142" s="5" t="s">
        <v>12</v>
      </c>
      <c r="AB142" s="5" t="s">
        <v>170</v>
      </c>
      <c r="AC142" s="7" t="str" cm="1">
        <f t="array" ref="AC142">INDEX($B$10:$Y$25, INT((ROW(A133)-1)/24) + 1, MOD(ROW(A133)-1, 24) + 1)</f>
        <v>B6</v>
      </c>
      <c r="AD142" s="5">
        <v>1</v>
      </c>
      <c r="AE142" s="5" cm="1">
        <f t="array" ref="AE142">INDEX($B$29:$Y$44, INT((ROW(A133)-1)/24) + 1, MOD(ROW(A133)-1, 24) + 1)</f>
        <v>0.3</v>
      </c>
      <c r="AF142" s="5" cm="1">
        <f t="array" ref="AF142">INDEX($B$48:$Y$63, INT((ROW(A133)-1)/24) + 1, MOD(ROW(A133)-1, 24) + 1)</f>
        <v>93905</v>
      </c>
    </row>
    <row r="143" spans="27:32" x14ac:dyDescent="0.2">
      <c r="AA143" s="5" t="s">
        <v>12</v>
      </c>
      <c r="AB143" s="5" t="s">
        <v>171</v>
      </c>
      <c r="AC143" s="7" t="str" cm="1">
        <f t="array" ref="AC143">INDEX($B$10:$Y$25, INT((ROW(A134)-1)/24) + 1, MOD(ROW(A134)-1, 24) + 1)</f>
        <v>B6</v>
      </c>
      <c r="AD143" s="5">
        <v>1</v>
      </c>
      <c r="AE143" s="5" cm="1">
        <f t="array" ref="AE143">INDEX($B$29:$Y$44, INT((ROW(A134)-1)/24) + 1, MOD(ROW(A134)-1, 24) + 1)</f>
        <v>9.9999999999999992E-2</v>
      </c>
      <c r="AF143" s="5" cm="1">
        <f t="array" ref="AF143">INDEX($B$48:$Y$63, INT((ROW(A134)-1)/24) + 1, MOD(ROW(A134)-1, 24) + 1)</f>
        <v>141565</v>
      </c>
    </row>
    <row r="144" spans="27:32" x14ac:dyDescent="0.2">
      <c r="AA144" s="5" t="s">
        <v>12</v>
      </c>
      <c r="AB144" s="5" t="s">
        <v>172</v>
      </c>
      <c r="AC144" s="7" t="str" cm="1">
        <f t="array" ref="AC144">INDEX($B$10:$Y$25, INT((ROW(A135)-1)/24) + 1, MOD(ROW(A135)-1, 24) + 1)</f>
        <v>B6</v>
      </c>
      <c r="AD144" s="5">
        <v>1</v>
      </c>
      <c r="AE144" s="5" cm="1">
        <f t="array" ref="AE144">INDEX($B$29:$Y$44, INT((ROW(A135)-1)/24) + 1, MOD(ROW(A135)-1, 24) + 1)</f>
        <v>3.3333333333333333E-2</v>
      </c>
      <c r="AF144" s="5" cm="1">
        <f t="array" ref="AF144">INDEX($B$48:$Y$63, INT((ROW(A135)-1)/24) + 1, MOD(ROW(A135)-1, 24) + 1)</f>
        <v>151990</v>
      </c>
    </row>
    <row r="145" spans="27:32" x14ac:dyDescent="0.2">
      <c r="AA145" s="5" t="s">
        <v>12</v>
      </c>
      <c r="AB145" s="5" t="s">
        <v>173</v>
      </c>
      <c r="AC145" s="7" t="str" cm="1">
        <f t="array" ref="AC145">INDEX($B$10:$Y$25, INT((ROW(A136)-1)/24) + 1, MOD(ROW(A136)-1, 24) + 1)</f>
        <v>B6</v>
      </c>
      <c r="AD145" s="5">
        <v>1</v>
      </c>
      <c r="AE145" s="5" cm="1">
        <f t="array" ref="AE145">INDEX($B$29:$Y$44, INT((ROW(A136)-1)/24) + 1, MOD(ROW(A136)-1, 24) + 1)</f>
        <v>1.1111111111111112E-2</v>
      </c>
      <c r="AF145" s="5" cm="1">
        <f t="array" ref="AF145">INDEX($B$48:$Y$63, INT((ROW(A136)-1)/24) + 1, MOD(ROW(A136)-1, 24) + 1)</f>
        <v>153250</v>
      </c>
    </row>
    <row r="146" spans="27:32" x14ac:dyDescent="0.2">
      <c r="AA146" s="5" t="s">
        <v>12</v>
      </c>
      <c r="AB146" s="5" t="s">
        <v>174</v>
      </c>
      <c r="AC146" s="7" t="str" cm="1">
        <f t="array" ref="AC146">INDEX($B$10:$Y$25, INT((ROW(A137)-1)/24) + 1, MOD(ROW(A137)-1, 24) + 1)</f>
        <v>B6</v>
      </c>
      <c r="AD146" s="5">
        <v>1</v>
      </c>
      <c r="AE146" s="5" cm="1">
        <f t="array" ref="AE146">INDEX($B$29:$Y$44, INT((ROW(A137)-1)/24) + 1, MOD(ROW(A137)-1, 24) + 1)</f>
        <v>3.7037037037037038E-3</v>
      </c>
      <c r="AF146" s="5" cm="1">
        <f t="array" ref="AF146">INDEX($B$48:$Y$63, INT((ROW(A137)-1)/24) + 1, MOD(ROW(A137)-1, 24) + 1)</f>
        <v>143490</v>
      </c>
    </row>
    <row r="147" spans="27:32" x14ac:dyDescent="0.2">
      <c r="AA147" s="5" t="s">
        <v>12</v>
      </c>
      <c r="AB147" s="5" t="s">
        <v>175</v>
      </c>
      <c r="AC147" s="7" t="str" cm="1">
        <f t="array" ref="AC147">INDEX($B$10:$Y$25, INT((ROW(A138)-1)/24) + 1, MOD(ROW(A138)-1, 24) + 1)</f>
        <v>B6</v>
      </c>
      <c r="AD147" s="5">
        <v>1</v>
      </c>
      <c r="AE147" s="5" cm="1">
        <f t="array" ref="AE147">INDEX($B$29:$Y$44, INT((ROW(A138)-1)/24) + 1, MOD(ROW(A138)-1, 24) + 1)</f>
        <v>1.2345679012345679E-3</v>
      </c>
      <c r="AF147" s="5" cm="1">
        <f t="array" ref="AF147">INDEX($B$48:$Y$63, INT((ROW(A138)-1)/24) + 1, MOD(ROW(A138)-1, 24) + 1)</f>
        <v>143495</v>
      </c>
    </row>
    <row r="148" spans="27:32" x14ac:dyDescent="0.2">
      <c r="AA148" s="5" t="s">
        <v>12</v>
      </c>
      <c r="AB148" s="5" t="s">
        <v>176</v>
      </c>
      <c r="AC148" s="7" t="str" cm="1">
        <f t="array" ref="AC148">INDEX($B$10:$Y$25, INT((ROW(A139)-1)/24) + 1, MOD(ROW(A139)-1, 24) + 1)</f>
        <v>B6</v>
      </c>
      <c r="AD148" s="5">
        <v>1</v>
      </c>
      <c r="AE148" s="5" cm="1">
        <f t="array" ref="AE148">INDEX($B$29:$Y$44, INT((ROW(A139)-1)/24) + 1, MOD(ROW(A139)-1, 24) + 1)</f>
        <v>4.1152263374485596E-4</v>
      </c>
      <c r="AF148" s="5" cm="1">
        <f t="array" ref="AF148">INDEX($B$48:$Y$63, INT((ROW(A139)-1)/24) + 1, MOD(ROW(A139)-1, 24) + 1)</f>
        <v>140560</v>
      </c>
    </row>
    <row r="149" spans="27:32" x14ac:dyDescent="0.2">
      <c r="AA149" s="5" t="s">
        <v>12</v>
      </c>
      <c r="AB149" s="5" t="s">
        <v>177</v>
      </c>
      <c r="AC149" s="7" t="str" cm="1">
        <f t="array" ref="AC149">INDEX($B$10:$Y$25, INT((ROW(A140)-1)/24) + 1, MOD(ROW(A140)-1, 24) + 1)</f>
        <v>B6</v>
      </c>
      <c r="AD149" s="5">
        <v>1</v>
      </c>
      <c r="AE149" s="5" cm="1">
        <f t="array" ref="AE149">INDEX($B$29:$Y$44, INT((ROW(A140)-1)/24) + 1, MOD(ROW(A140)-1, 24) + 1)</f>
        <v>1.3717421124828533E-4</v>
      </c>
      <c r="AF149" s="5" cm="1">
        <f t="array" ref="AF149">INDEX($B$48:$Y$63, INT((ROW(A140)-1)/24) + 1, MOD(ROW(A140)-1, 24) + 1)</f>
        <v>150570</v>
      </c>
    </row>
    <row r="150" spans="27:32" x14ac:dyDescent="0.2">
      <c r="AA150" s="5" t="s">
        <v>12</v>
      </c>
      <c r="AB150" s="5" t="s">
        <v>178</v>
      </c>
      <c r="AC150" s="7" t="str" cm="1">
        <f t="array" ref="AC150">INDEX($B$10:$Y$25, INT((ROW(A141)-1)/24) + 1, MOD(ROW(A141)-1, 24) + 1)</f>
        <v>B6</v>
      </c>
      <c r="AD150" s="5">
        <v>1</v>
      </c>
      <c r="AE150" s="5" cm="1">
        <f t="array" ref="AE150">INDEX($B$29:$Y$44, INT((ROW(A141)-1)/24) + 1, MOD(ROW(A141)-1, 24) + 1)</f>
        <v>4.5724737082761774E-5</v>
      </c>
      <c r="AF150" s="5" cm="1">
        <f t="array" ref="AF150">INDEX($B$48:$Y$63, INT((ROW(A141)-1)/24) + 1, MOD(ROW(A141)-1, 24) + 1)</f>
        <v>149050</v>
      </c>
    </row>
    <row r="151" spans="27:32" x14ac:dyDescent="0.2">
      <c r="AA151" s="5" t="s">
        <v>12</v>
      </c>
      <c r="AB151" s="5" t="s">
        <v>179</v>
      </c>
      <c r="AC151" s="7" t="str" cm="1">
        <f t="array" ref="AC151">INDEX($B$10:$Y$25, INT((ROW(A142)-1)/24) + 1, MOD(ROW(A142)-1, 24) + 1)</f>
        <v>B6</v>
      </c>
      <c r="AD151" s="5">
        <v>1</v>
      </c>
      <c r="AE151" s="5" cm="1">
        <f t="array" ref="AE151">INDEX($B$29:$Y$44, INT((ROW(A142)-1)/24) + 1, MOD(ROW(A142)-1, 24) + 1)</f>
        <v>1.5241579027587257E-5</v>
      </c>
      <c r="AF151" s="5" cm="1">
        <f t="array" ref="AF151">INDEX($B$48:$Y$63, INT((ROW(A142)-1)/24) + 1, MOD(ROW(A142)-1, 24) + 1)</f>
        <v>146905</v>
      </c>
    </row>
    <row r="152" spans="27:32" x14ac:dyDescent="0.2">
      <c r="AA152" s="5" t="s">
        <v>12</v>
      </c>
      <c r="AB152" s="5" t="s">
        <v>180</v>
      </c>
      <c r="AC152" s="7" t="str" cm="1">
        <f t="array" ref="AC152">INDEX($B$10:$Y$25, INT((ROW(A143)-1)/24) + 1, MOD(ROW(A143)-1, 24) + 1)</f>
        <v>B6</v>
      </c>
      <c r="AD152" s="5">
        <v>1</v>
      </c>
      <c r="AE152" s="5" cm="1">
        <f t="array" ref="AE152">INDEX($B$29:$Y$44, INT((ROW(A143)-1)/24) + 1, MOD(ROW(A143)-1, 24) + 1)</f>
        <v>5.0805263425290855E-6</v>
      </c>
      <c r="AF152" s="5" cm="1">
        <f t="array" ref="AF152">INDEX($B$48:$Y$63, INT((ROW(A143)-1)/24) + 1, MOD(ROW(A143)-1, 24) + 1)</f>
        <v>141750</v>
      </c>
    </row>
    <row r="153" spans="27:32" x14ac:dyDescent="0.2">
      <c r="AA153" s="5" t="s">
        <v>12</v>
      </c>
      <c r="AB153" s="5" t="s">
        <v>181</v>
      </c>
      <c r="AC153" s="7"/>
      <c r="AD153" s="5"/>
      <c r="AE153" s="5" cm="1">
        <f t="array" ref="AE153">INDEX($B$29:$Y$44, INT((ROW(A144)-1)/24) + 1, MOD(ROW(A144)-1, 24) + 1)</f>
        <v>0</v>
      </c>
      <c r="AF153" s="5" cm="1">
        <f t="array" ref="AF153">INDEX($B$48:$Y$63, INT((ROW(A144)-1)/24) + 1, MOD(ROW(A144)-1, 24) + 1)</f>
        <v>680</v>
      </c>
    </row>
    <row r="154" spans="27:32" x14ac:dyDescent="0.2">
      <c r="AA154" s="5" t="s">
        <v>12</v>
      </c>
      <c r="AB154" s="5" t="s">
        <v>182</v>
      </c>
      <c r="AC154" s="7" t="str" cm="1">
        <f t="array" ref="AC154">INDEX($B$10:$Y$25, INT((ROW(A145)-1)/24) + 1, MOD(ROW(A145)-1, 24) + 1)</f>
        <v>PBS</v>
      </c>
      <c r="AD154" s="5">
        <v>1</v>
      </c>
      <c r="AE154" s="5" cm="1">
        <f t="array" ref="AE154">INDEX($B$29:$Y$44, INT((ROW(A145)-1)/24) + 1, MOD(ROW(A145)-1, 24) + 1)</f>
        <v>0</v>
      </c>
      <c r="AF154" s="5" cm="1">
        <f t="array" ref="AF154">INDEX($B$48:$Y$63, INT((ROW(A145)-1)/24) + 1, MOD(ROW(A145)-1, 24) + 1)</f>
        <v>133635</v>
      </c>
    </row>
    <row r="155" spans="27:32" x14ac:dyDescent="0.2">
      <c r="AA155" s="5" t="s">
        <v>12</v>
      </c>
      <c r="AB155" s="5" t="s">
        <v>183</v>
      </c>
      <c r="AC155" s="7" t="str" cm="1">
        <f t="array" ref="AC155">INDEX($B$10:$Y$25, INT((ROW(A146)-1)/24) + 1, MOD(ROW(A146)-1, 24) + 1)</f>
        <v>PBS</v>
      </c>
      <c r="AD155" s="5">
        <v>1</v>
      </c>
      <c r="AE155" s="5" cm="1">
        <f t="array" ref="AE155">INDEX($B$29:$Y$44, INT((ROW(A146)-1)/24) + 1, MOD(ROW(A146)-1, 24) + 1)</f>
        <v>0</v>
      </c>
      <c r="AF155" s="5" cm="1">
        <f t="array" ref="AF155">INDEX($B$48:$Y$63, INT((ROW(A146)-1)/24) + 1, MOD(ROW(A146)-1, 24) + 1)</f>
        <v>146440</v>
      </c>
    </row>
    <row r="156" spans="27:32" x14ac:dyDescent="0.2">
      <c r="AA156" s="5" t="s">
        <v>12</v>
      </c>
      <c r="AB156" s="5" t="s">
        <v>184</v>
      </c>
      <c r="AC156" s="7" t="str" cm="1">
        <f t="array" ref="AC156">INDEX($B$10:$Y$25, INT((ROW(A147)-1)/24) + 1, MOD(ROW(A147)-1, 24) + 1)</f>
        <v>PBS</v>
      </c>
      <c r="AD156" s="5">
        <v>1</v>
      </c>
      <c r="AE156" s="5" cm="1">
        <f t="array" ref="AE156">INDEX($B$29:$Y$44, INT((ROW(A147)-1)/24) + 1, MOD(ROW(A147)-1, 24) + 1)</f>
        <v>0</v>
      </c>
      <c r="AF156" s="5" cm="1">
        <f t="array" ref="AF156">INDEX($B$48:$Y$63, INT((ROW(A147)-1)/24) + 1, MOD(ROW(A147)-1, 24) + 1)</f>
        <v>146395</v>
      </c>
    </row>
    <row r="157" spans="27:32" x14ac:dyDescent="0.2">
      <c r="AA157" s="5" t="s">
        <v>12</v>
      </c>
      <c r="AB157" s="5" t="s">
        <v>185</v>
      </c>
      <c r="AC157" s="7" t="str" cm="1">
        <f t="array" ref="AC157">INDEX($B$10:$Y$25, INT((ROW(A148)-1)/24) + 1, MOD(ROW(A148)-1, 24) + 1)</f>
        <v>PBS</v>
      </c>
      <c r="AD157" s="5">
        <v>1</v>
      </c>
      <c r="AE157" s="5" cm="1">
        <f t="array" ref="AE157">INDEX($B$29:$Y$44, INT((ROW(A148)-1)/24) + 1, MOD(ROW(A148)-1, 24) + 1)</f>
        <v>0</v>
      </c>
      <c r="AF157" s="5" cm="1">
        <f t="array" ref="AF157">INDEX($B$48:$Y$63, INT((ROW(A148)-1)/24) + 1, MOD(ROW(A148)-1, 24) + 1)</f>
        <v>157010</v>
      </c>
    </row>
    <row r="158" spans="27:32" x14ac:dyDescent="0.2">
      <c r="AA158" s="5" t="s">
        <v>12</v>
      </c>
      <c r="AB158" s="5" t="s">
        <v>186</v>
      </c>
      <c r="AC158" s="7" t="str" cm="1">
        <f t="array" ref="AC158">INDEX($B$10:$Y$25, INT((ROW(A149)-1)/24) + 1, MOD(ROW(A149)-1, 24) + 1)</f>
        <v>PBS</v>
      </c>
      <c r="AD158" s="5">
        <v>1</v>
      </c>
      <c r="AE158" s="5" cm="1">
        <f t="array" ref="AE158">INDEX($B$29:$Y$44, INT((ROW(A149)-1)/24) + 1, MOD(ROW(A149)-1, 24) + 1)</f>
        <v>0</v>
      </c>
      <c r="AF158" s="5" cm="1">
        <f t="array" ref="AF158">INDEX($B$48:$Y$63, INT((ROW(A149)-1)/24) + 1, MOD(ROW(A149)-1, 24) + 1)</f>
        <v>150990</v>
      </c>
    </row>
    <row r="159" spans="27:32" x14ac:dyDescent="0.2">
      <c r="AA159" s="5" t="s">
        <v>12</v>
      </c>
      <c r="AB159" s="5" t="s">
        <v>187</v>
      </c>
      <c r="AC159" s="7" t="str" cm="1">
        <f t="array" ref="AC159">INDEX($B$10:$Y$25, INT((ROW(A150)-1)/24) + 1, MOD(ROW(A150)-1, 24) + 1)</f>
        <v>PBS</v>
      </c>
      <c r="AD159" s="5">
        <v>1</v>
      </c>
      <c r="AE159" s="5" cm="1">
        <f t="array" ref="AE159">INDEX($B$29:$Y$44, INT((ROW(A150)-1)/24) + 1, MOD(ROW(A150)-1, 24) + 1)</f>
        <v>0</v>
      </c>
      <c r="AF159" s="5" cm="1">
        <f t="array" ref="AF159">INDEX($B$48:$Y$63, INT((ROW(A150)-1)/24) + 1, MOD(ROW(A150)-1, 24) + 1)</f>
        <v>151425</v>
      </c>
    </row>
    <row r="160" spans="27:32" x14ac:dyDescent="0.2">
      <c r="AA160" s="5" t="s">
        <v>12</v>
      </c>
      <c r="AB160" s="5" t="s">
        <v>188</v>
      </c>
      <c r="AC160" s="7" t="str" cm="1">
        <f t="array" ref="AC160">INDEX($B$10:$Y$25, INT((ROW(A151)-1)/24) + 1, MOD(ROW(A151)-1, 24) + 1)</f>
        <v>PBS</v>
      </c>
      <c r="AD160" s="5">
        <v>1</v>
      </c>
      <c r="AE160" s="5" cm="1">
        <f t="array" ref="AE160">INDEX($B$29:$Y$44, INT((ROW(A151)-1)/24) + 1, MOD(ROW(A151)-1, 24) + 1)</f>
        <v>0</v>
      </c>
      <c r="AF160" s="5" cm="1">
        <f t="array" ref="AF160">INDEX($B$48:$Y$63, INT((ROW(A151)-1)/24) + 1, MOD(ROW(A151)-1, 24) + 1)</f>
        <v>156250</v>
      </c>
    </row>
    <row r="161" spans="27:32" x14ac:dyDescent="0.2">
      <c r="AA161" s="5" t="s">
        <v>12</v>
      </c>
      <c r="AB161" s="5" t="s">
        <v>189</v>
      </c>
      <c r="AC161" s="7" t="str" cm="1">
        <f t="array" ref="AC161">INDEX($B$10:$Y$25, INT((ROW(A152)-1)/24) + 1, MOD(ROW(A152)-1, 24) + 1)</f>
        <v>PBS</v>
      </c>
      <c r="AD161" s="5">
        <v>1</v>
      </c>
      <c r="AE161" s="5" cm="1">
        <f t="array" ref="AE161">INDEX($B$29:$Y$44, INT((ROW(A152)-1)/24) + 1, MOD(ROW(A152)-1, 24) + 1)</f>
        <v>0</v>
      </c>
      <c r="AF161" s="5" cm="1">
        <f t="array" ref="AF161">INDEX($B$48:$Y$63, INT((ROW(A152)-1)/24) + 1, MOD(ROW(A152)-1, 24) + 1)</f>
        <v>160220</v>
      </c>
    </row>
    <row r="162" spans="27:32" x14ac:dyDescent="0.2">
      <c r="AA162" s="5" t="s">
        <v>12</v>
      </c>
      <c r="AB162" s="5" t="s">
        <v>190</v>
      </c>
      <c r="AC162" s="7" t="str" cm="1">
        <f t="array" ref="AC162">INDEX($B$10:$Y$25, INT((ROW(A153)-1)/24) + 1, MOD(ROW(A153)-1, 24) + 1)</f>
        <v>PBS</v>
      </c>
      <c r="AD162" s="5">
        <v>1</v>
      </c>
      <c r="AE162" s="5" cm="1">
        <f t="array" ref="AE162">INDEX($B$29:$Y$44, INT((ROW(A153)-1)/24) + 1, MOD(ROW(A153)-1, 24) + 1)</f>
        <v>0</v>
      </c>
      <c r="AF162" s="5" cm="1">
        <f t="array" ref="AF162">INDEX($B$48:$Y$63, INT((ROW(A153)-1)/24) + 1, MOD(ROW(A153)-1, 24) + 1)</f>
        <v>138355</v>
      </c>
    </row>
    <row r="163" spans="27:32" x14ac:dyDescent="0.2">
      <c r="AA163" s="5" t="s">
        <v>12</v>
      </c>
      <c r="AB163" s="5" t="s">
        <v>191</v>
      </c>
      <c r="AC163" s="7" t="str" cm="1">
        <f t="array" ref="AC163">INDEX($B$10:$Y$25, INT((ROW(A154)-1)/24) + 1, MOD(ROW(A154)-1, 24) + 1)</f>
        <v>PBS</v>
      </c>
      <c r="AD163" s="5">
        <v>1</v>
      </c>
      <c r="AE163" s="5" cm="1">
        <f t="array" ref="AE163">INDEX($B$29:$Y$44, INT((ROW(A154)-1)/24) + 1, MOD(ROW(A154)-1, 24) + 1)</f>
        <v>0</v>
      </c>
      <c r="AF163" s="5" cm="1">
        <f t="array" ref="AF163">INDEX($B$48:$Y$63, INT((ROW(A154)-1)/24) + 1, MOD(ROW(A154)-1, 24) + 1)</f>
        <v>150145</v>
      </c>
    </row>
    <row r="164" spans="27:32" x14ac:dyDescent="0.2">
      <c r="AA164" s="5" t="s">
        <v>12</v>
      </c>
      <c r="AB164" s="5" t="s">
        <v>192</v>
      </c>
      <c r="AC164" s="7" t="str" cm="1">
        <f t="array" ref="AC164">INDEX($B$10:$Y$25, INT((ROW(A155)-1)/24) + 1, MOD(ROW(A155)-1, 24) + 1)</f>
        <v>PBS</v>
      </c>
      <c r="AD164" s="5">
        <v>1</v>
      </c>
      <c r="AE164" s="5" cm="1">
        <f t="array" ref="AE164">INDEX($B$29:$Y$44, INT((ROW(A155)-1)/24) + 1, MOD(ROW(A155)-1, 24) + 1)</f>
        <v>0</v>
      </c>
      <c r="AF164" s="5" cm="1">
        <f t="array" ref="AF164">INDEX($B$48:$Y$63, INT((ROW(A155)-1)/24) + 1, MOD(ROW(A155)-1, 24) + 1)</f>
        <v>145670</v>
      </c>
    </row>
    <row r="165" spans="27:32" x14ac:dyDescent="0.2">
      <c r="AA165" s="5" t="s">
        <v>12</v>
      </c>
      <c r="AB165" s="5" t="s">
        <v>193</v>
      </c>
      <c r="AC165" s="7"/>
      <c r="AD165" s="5"/>
      <c r="AE165" s="5" cm="1">
        <f t="array" ref="AE165">INDEX($B$29:$Y$44, INT((ROW(A156)-1)/24) + 1, MOD(ROW(A156)-1, 24) + 1)</f>
        <v>0</v>
      </c>
      <c r="AF165" s="5" cm="1">
        <f t="array" ref="AF165">INDEX($B$48:$Y$63, INT((ROW(A156)-1)/24) + 1, MOD(ROW(A156)-1, 24) + 1)</f>
        <v>955</v>
      </c>
    </row>
    <row r="166" spans="27:32" x14ac:dyDescent="0.2">
      <c r="AA166" s="5" t="s">
        <v>12</v>
      </c>
      <c r="AB166" s="5" t="s">
        <v>194</v>
      </c>
      <c r="AC166" s="7" t="str" cm="1">
        <f t="array" ref="AC166">INDEX($B$10:$Y$25, INT((ROW(A157)-1)/24) + 1, MOD(ROW(A157)-1, 24) + 1)</f>
        <v>B7</v>
      </c>
      <c r="AD166" s="5">
        <v>1</v>
      </c>
      <c r="AE166" s="5" cm="1">
        <f t="array" ref="AE166">INDEX($B$29:$Y$44, INT((ROW(A157)-1)/24) + 1, MOD(ROW(A157)-1, 24) + 1)</f>
        <v>2.2000000000000002</v>
      </c>
      <c r="AF166" s="5" cm="1">
        <f t="array" ref="AF166">INDEX($B$48:$Y$63, INT((ROW(A157)-1)/24) + 1, MOD(ROW(A157)-1, 24) + 1)</f>
        <v>335</v>
      </c>
    </row>
    <row r="167" spans="27:32" x14ac:dyDescent="0.2">
      <c r="AA167" s="5" t="s">
        <v>12</v>
      </c>
      <c r="AB167" s="5" t="s">
        <v>195</v>
      </c>
      <c r="AC167" s="7" t="str" cm="1">
        <f t="array" ref="AC167">INDEX($B$10:$Y$25, INT((ROW(A158)-1)/24) + 1, MOD(ROW(A158)-1, 24) + 1)</f>
        <v>B7</v>
      </c>
      <c r="AD167" s="5">
        <v>1</v>
      </c>
      <c r="AE167" s="5" cm="1">
        <f t="array" ref="AE167">INDEX($B$29:$Y$44, INT((ROW(A158)-1)/24) + 1, MOD(ROW(A158)-1, 24) + 1)</f>
        <v>0.73333333333333339</v>
      </c>
      <c r="AF167" s="5" cm="1">
        <f t="array" ref="AF167">INDEX($B$48:$Y$63, INT((ROW(A158)-1)/24) + 1, MOD(ROW(A158)-1, 24) + 1)</f>
        <v>1240</v>
      </c>
    </row>
    <row r="168" spans="27:32" x14ac:dyDescent="0.2">
      <c r="AA168" s="5" t="s">
        <v>12</v>
      </c>
      <c r="AB168" s="5" t="s">
        <v>196</v>
      </c>
      <c r="AC168" s="7" t="str" cm="1">
        <f t="array" ref="AC168">INDEX($B$10:$Y$25, INT((ROW(A159)-1)/24) + 1, MOD(ROW(A159)-1, 24) + 1)</f>
        <v>B7</v>
      </c>
      <c r="AD168" s="5">
        <v>1</v>
      </c>
      <c r="AE168" s="5" cm="1">
        <f t="array" ref="AE168">INDEX($B$29:$Y$44, INT((ROW(A159)-1)/24) + 1, MOD(ROW(A159)-1, 24) + 1)</f>
        <v>0.24444444444444446</v>
      </c>
      <c r="AF168" s="5" cm="1">
        <f t="array" ref="AF168">INDEX($B$48:$Y$63, INT((ROW(A159)-1)/24) + 1, MOD(ROW(A159)-1, 24) + 1)</f>
        <v>1840</v>
      </c>
    </row>
    <row r="169" spans="27:32" x14ac:dyDescent="0.2">
      <c r="AA169" s="5" t="s">
        <v>12</v>
      </c>
      <c r="AB169" s="5" t="s">
        <v>197</v>
      </c>
      <c r="AC169" s="7" t="str" cm="1">
        <f t="array" ref="AC169">INDEX($B$10:$Y$25, INT((ROW(A160)-1)/24) + 1, MOD(ROW(A160)-1, 24) + 1)</f>
        <v>B7</v>
      </c>
      <c r="AD169" s="5">
        <v>1</v>
      </c>
      <c r="AE169" s="5" cm="1">
        <f t="array" ref="AE169">INDEX($B$29:$Y$44, INT((ROW(A160)-1)/24) + 1, MOD(ROW(A160)-1, 24) + 1)</f>
        <v>8.1481481481481488E-2</v>
      </c>
      <c r="AF169" s="5" cm="1">
        <f t="array" ref="AF169">INDEX($B$48:$Y$63, INT((ROW(A160)-1)/24) + 1, MOD(ROW(A160)-1, 24) + 1)</f>
        <v>5960</v>
      </c>
    </row>
    <row r="170" spans="27:32" x14ac:dyDescent="0.2">
      <c r="AA170" s="5" t="s">
        <v>12</v>
      </c>
      <c r="AB170" s="5" t="s">
        <v>198</v>
      </c>
      <c r="AC170" s="7" t="str" cm="1">
        <f t="array" ref="AC170">INDEX($B$10:$Y$25, INT((ROW(A161)-1)/24) + 1, MOD(ROW(A161)-1, 24) + 1)</f>
        <v>B7</v>
      </c>
      <c r="AD170" s="5">
        <v>1</v>
      </c>
      <c r="AE170" s="5" cm="1">
        <f t="array" ref="AE170">INDEX($B$29:$Y$44, INT((ROW(A161)-1)/24) + 1, MOD(ROW(A161)-1, 24) + 1)</f>
        <v>2.7160493827160497E-2</v>
      </c>
      <c r="AF170" s="5" cm="1">
        <f t="array" ref="AF170">INDEX($B$48:$Y$63, INT((ROW(A161)-1)/24) + 1, MOD(ROW(A161)-1, 24) + 1)</f>
        <v>17135</v>
      </c>
    </row>
    <row r="171" spans="27:32" x14ac:dyDescent="0.2">
      <c r="AA171" s="5" t="s">
        <v>12</v>
      </c>
      <c r="AB171" s="5" t="s">
        <v>199</v>
      </c>
      <c r="AC171" s="7" t="str" cm="1">
        <f t="array" ref="AC171">INDEX($B$10:$Y$25, INT((ROW(A162)-1)/24) + 1, MOD(ROW(A162)-1, 24) + 1)</f>
        <v>B7</v>
      </c>
      <c r="AD171" s="5">
        <v>1</v>
      </c>
      <c r="AE171" s="5" cm="1">
        <f t="array" ref="AE171">INDEX($B$29:$Y$44, INT((ROW(A162)-1)/24) + 1, MOD(ROW(A162)-1, 24) + 1)</f>
        <v>9.0534979423868324E-3</v>
      </c>
      <c r="AF171" s="5" cm="1">
        <f t="array" ref="AF171">INDEX($B$48:$Y$63, INT((ROW(A162)-1)/24) + 1, MOD(ROW(A162)-1, 24) + 1)</f>
        <v>50965</v>
      </c>
    </row>
    <row r="172" spans="27:32" x14ac:dyDescent="0.2">
      <c r="AA172" s="5" t="s">
        <v>12</v>
      </c>
      <c r="AB172" s="5" t="s">
        <v>200</v>
      </c>
      <c r="AC172" s="7" t="str" cm="1">
        <f t="array" ref="AC172">INDEX($B$10:$Y$25, INT((ROW(A163)-1)/24) + 1, MOD(ROW(A163)-1, 24) + 1)</f>
        <v>B7</v>
      </c>
      <c r="AD172" s="5">
        <v>1</v>
      </c>
      <c r="AE172" s="5" cm="1">
        <f t="array" ref="AE172">INDEX($B$29:$Y$44, INT((ROW(A163)-1)/24) + 1, MOD(ROW(A163)-1, 24) + 1)</f>
        <v>3.0178326474622776E-3</v>
      </c>
      <c r="AF172" s="5" cm="1">
        <f t="array" ref="AF172">INDEX($B$48:$Y$63, INT((ROW(A163)-1)/24) + 1, MOD(ROW(A163)-1, 24) + 1)</f>
        <v>91560</v>
      </c>
    </row>
    <row r="173" spans="27:32" x14ac:dyDescent="0.2">
      <c r="AA173" s="5" t="s">
        <v>12</v>
      </c>
      <c r="AB173" s="5" t="s">
        <v>201</v>
      </c>
      <c r="AC173" s="7" t="str" cm="1">
        <f t="array" ref="AC173">INDEX($B$10:$Y$25, INT((ROW(A164)-1)/24) + 1, MOD(ROW(A164)-1, 24) + 1)</f>
        <v>B7</v>
      </c>
      <c r="AD173" s="5">
        <v>1</v>
      </c>
      <c r="AE173" s="5" cm="1">
        <f t="array" ref="AE173">INDEX($B$29:$Y$44, INT((ROW(A164)-1)/24) + 1, MOD(ROW(A164)-1, 24) + 1)</f>
        <v>1.0059442158207592E-3</v>
      </c>
      <c r="AF173" s="5" cm="1">
        <f t="array" ref="AF173">INDEX($B$48:$Y$63, INT((ROW(A164)-1)/24) + 1, MOD(ROW(A164)-1, 24) + 1)</f>
        <v>112785</v>
      </c>
    </row>
    <row r="174" spans="27:32" x14ac:dyDescent="0.2">
      <c r="AA174" s="5" t="s">
        <v>12</v>
      </c>
      <c r="AB174" s="5" t="s">
        <v>202</v>
      </c>
      <c r="AC174" s="7" t="str" cm="1">
        <f t="array" ref="AC174">INDEX($B$10:$Y$25, INT((ROW(A165)-1)/24) + 1, MOD(ROW(A165)-1, 24) + 1)</f>
        <v>B7</v>
      </c>
      <c r="AD174" s="5">
        <v>1</v>
      </c>
      <c r="AE174" s="5" cm="1">
        <f t="array" ref="AE174">INDEX($B$29:$Y$44, INT((ROW(A165)-1)/24) + 1, MOD(ROW(A165)-1, 24) + 1)</f>
        <v>3.3531473860691973E-4</v>
      </c>
      <c r="AF174" s="5" cm="1">
        <f t="array" ref="AF174">INDEX($B$48:$Y$63, INT((ROW(A165)-1)/24) + 1, MOD(ROW(A165)-1, 24) + 1)</f>
        <v>128905</v>
      </c>
    </row>
    <row r="175" spans="27:32" x14ac:dyDescent="0.2">
      <c r="AA175" s="5" t="s">
        <v>12</v>
      </c>
      <c r="AB175" s="5" t="s">
        <v>203</v>
      </c>
      <c r="AC175" s="7" t="str" cm="1">
        <f t="array" ref="AC175">INDEX($B$10:$Y$25, INT((ROW(A166)-1)/24) + 1, MOD(ROW(A166)-1, 24) + 1)</f>
        <v>B7</v>
      </c>
      <c r="AD175" s="5">
        <v>1</v>
      </c>
      <c r="AE175" s="5" cm="1">
        <f t="array" ref="AE175">INDEX($B$29:$Y$44, INT((ROW(A166)-1)/24) + 1, MOD(ROW(A166)-1, 24) + 1)</f>
        <v>1.1177157953563991E-4</v>
      </c>
      <c r="AF175" s="5" cm="1">
        <f t="array" ref="AF175">INDEX($B$48:$Y$63, INT((ROW(A166)-1)/24) + 1, MOD(ROW(A166)-1, 24) + 1)</f>
        <v>142815</v>
      </c>
    </row>
    <row r="176" spans="27:32" x14ac:dyDescent="0.2">
      <c r="AA176" s="5" t="s">
        <v>12</v>
      </c>
      <c r="AB176" s="5" t="s">
        <v>204</v>
      </c>
      <c r="AC176" s="7" t="str" cm="1">
        <f t="array" ref="AC176">INDEX($B$10:$Y$25, INT((ROW(A167)-1)/24) + 1, MOD(ROW(A167)-1, 24) + 1)</f>
        <v>B7</v>
      </c>
      <c r="AD176" s="5">
        <v>1</v>
      </c>
      <c r="AE176" s="5" cm="1">
        <f t="array" ref="AE176">INDEX($B$29:$Y$44, INT((ROW(A167)-1)/24) + 1, MOD(ROW(A167)-1, 24) + 1)</f>
        <v>3.7257193178546638E-5</v>
      </c>
      <c r="AF176" s="5" cm="1">
        <f t="array" ref="AF176">INDEX($B$48:$Y$63, INT((ROW(A167)-1)/24) + 1, MOD(ROW(A167)-1, 24) + 1)</f>
        <v>133075</v>
      </c>
    </row>
    <row r="177" spans="27:32" x14ac:dyDescent="0.2">
      <c r="AA177" s="5" t="s">
        <v>12</v>
      </c>
      <c r="AB177" s="5" t="s">
        <v>205</v>
      </c>
      <c r="AC177" s="7"/>
      <c r="AD177" s="5"/>
      <c r="AE177" s="5" cm="1">
        <f t="array" ref="AE177">INDEX($B$29:$Y$44, INT((ROW(A168)-1)/24) + 1, MOD(ROW(A168)-1, 24) + 1)</f>
        <v>0</v>
      </c>
      <c r="AF177" s="5" cm="1">
        <f t="array" ref="AF177">INDEX($B$48:$Y$63, INT((ROW(A168)-1)/24) + 1, MOD(ROW(A168)-1, 24) + 1)</f>
        <v>650</v>
      </c>
    </row>
    <row r="178" spans="27:32" x14ac:dyDescent="0.2">
      <c r="AA178" s="5" t="s">
        <v>12</v>
      </c>
      <c r="AB178" s="5" t="s">
        <v>206</v>
      </c>
      <c r="AC178" s="7" t="str" cm="1">
        <f t="array" ref="AC178">INDEX($B$10:$Y$25, INT((ROW(A169)-1)/24) + 1, MOD(ROW(A169)-1, 24) + 1)</f>
        <v>PBS</v>
      </c>
      <c r="AD178" s="5">
        <v>1</v>
      </c>
      <c r="AE178" s="5" cm="1">
        <f t="array" ref="AE178">INDEX($B$29:$Y$44, INT((ROW(A169)-1)/24) + 1, MOD(ROW(A169)-1, 24) + 1)</f>
        <v>0</v>
      </c>
      <c r="AF178" s="5" cm="1">
        <f t="array" ref="AF178">INDEX($B$48:$Y$63, INT((ROW(A169)-1)/24) + 1, MOD(ROW(A169)-1, 24) + 1)</f>
        <v>123545</v>
      </c>
    </row>
    <row r="179" spans="27:32" x14ac:dyDescent="0.2">
      <c r="AA179" s="5" t="s">
        <v>12</v>
      </c>
      <c r="AB179" s="5" t="s">
        <v>207</v>
      </c>
      <c r="AC179" s="7" t="str" cm="1">
        <f t="array" ref="AC179">INDEX($B$10:$Y$25, INT((ROW(A170)-1)/24) + 1, MOD(ROW(A170)-1, 24) + 1)</f>
        <v>PBS</v>
      </c>
      <c r="AD179" s="5">
        <v>1</v>
      </c>
      <c r="AE179" s="5" cm="1">
        <f t="array" ref="AE179">INDEX($B$29:$Y$44, INT((ROW(A170)-1)/24) + 1, MOD(ROW(A170)-1, 24) + 1)</f>
        <v>0</v>
      </c>
      <c r="AF179" s="5" cm="1">
        <f t="array" ref="AF179">INDEX($B$48:$Y$63, INT((ROW(A170)-1)/24) + 1, MOD(ROW(A170)-1, 24) + 1)</f>
        <v>136910</v>
      </c>
    </row>
    <row r="180" spans="27:32" x14ac:dyDescent="0.2">
      <c r="AA180" s="5" t="s">
        <v>12</v>
      </c>
      <c r="AB180" s="5" t="s">
        <v>208</v>
      </c>
      <c r="AC180" s="7" t="str" cm="1">
        <f t="array" ref="AC180">INDEX($B$10:$Y$25, INT((ROW(A171)-1)/24) + 1, MOD(ROW(A171)-1, 24) + 1)</f>
        <v>PBS</v>
      </c>
      <c r="AD180" s="5">
        <v>1</v>
      </c>
      <c r="AE180" s="5" cm="1">
        <f t="array" ref="AE180">INDEX($B$29:$Y$44, INT((ROW(A171)-1)/24) + 1, MOD(ROW(A171)-1, 24) + 1)</f>
        <v>0</v>
      </c>
      <c r="AF180" s="5" cm="1">
        <f t="array" ref="AF180">INDEX($B$48:$Y$63, INT((ROW(A171)-1)/24) + 1, MOD(ROW(A171)-1, 24) + 1)</f>
        <v>132685</v>
      </c>
    </row>
    <row r="181" spans="27:32" x14ac:dyDescent="0.2">
      <c r="AA181" s="5" t="s">
        <v>12</v>
      </c>
      <c r="AB181" s="5" t="s">
        <v>209</v>
      </c>
      <c r="AC181" s="7" t="str" cm="1">
        <f t="array" ref="AC181">INDEX($B$10:$Y$25, INT((ROW(A172)-1)/24) + 1, MOD(ROW(A172)-1, 24) + 1)</f>
        <v>PBS</v>
      </c>
      <c r="AD181" s="5">
        <v>1</v>
      </c>
      <c r="AE181" s="5" cm="1">
        <f t="array" ref="AE181">INDEX($B$29:$Y$44, INT((ROW(A172)-1)/24) + 1, MOD(ROW(A172)-1, 24) + 1)</f>
        <v>0</v>
      </c>
      <c r="AF181" s="5" cm="1">
        <f t="array" ref="AF181">INDEX($B$48:$Y$63, INT((ROW(A172)-1)/24) + 1, MOD(ROW(A172)-1, 24) + 1)</f>
        <v>152850</v>
      </c>
    </row>
    <row r="182" spans="27:32" x14ac:dyDescent="0.2">
      <c r="AA182" s="5" t="s">
        <v>12</v>
      </c>
      <c r="AB182" s="5" t="s">
        <v>210</v>
      </c>
      <c r="AC182" s="7" t="str" cm="1">
        <f t="array" ref="AC182">INDEX($B$10:$Y$25, INT((ROW(A173)-1)/24) + 1, MOD(ROW(A173)-1, 24) + 1)</f>
        <v>PBS</v>
      </c>
      <c r="AD182" s="5">
        <v>1</v>
      </c>
      <c r="AE182" s="5" cm="1">
        <f t="array" ref="AE182">INDEX($B$29:$Y$44, INT((ROW(A173)-1)/24) + 1, MOD(ROW(A173)-1, 24) + 1)</f>
        <v>0</v>
      </c>
      <c r="AF182" s="5" cm="1">
        <f t="array" ref="AF182">INDEX($B$48:$Y$63, INT((ROW(A173)-1)/24) + 1, MOD(ROW(A173)-1, 24) + 1)</f>
        <v>143640</v>
      </c>
    </row>
    <row r="183" spans="27:32" x14ac:dyDescent="0.2">
      <c r="AA183" s="5" t="s">
        <v>12</v>
      </c>
      <c r="AB183" s="5" t="s">
        <v>211</v>
      </c>
      <c r="AC183" s="7" t="str" cm="1">
        <f t="array" ref="AC183">INDEX($B$10:$Y$25, INT((ROW(A174)-1)/24) + 1, MOD(ROW(A174)-1, 24) + 1)</f>
        <v>PBS</v>
      </c>
      <c r="AD183" s="5">
        <v>1</v>
      </c>
      <c r="AE183" s="5" cm="1">
        <f t="array" ref="AE183">INDEX($B$29:$Y$44, INT((ROW(A174)-1)/24) + 1, MOD(ROW(A174)-1, 24) + 1)</f>
        <v>0</v>
      </c>
      <c r="AF183" s="5" cm="1">
        <f t="array" ref="AF183">INDEX($B$48:$Y$63, INT((ROW(A174)-1)/24) + 1, MOD(ROW(A174)-1, 24) + 1)</f>
        <v>144730</v>
      </c>
    </row>
    <row r="184" spans="27:32" x14ac:dyDescent="0.2">
      <c r="AA184" s="5" t="s">
        <v>12</v>
      </c>
      <c r="AB184" s="5" t="s">
        <v>212</v>
      </c>
      <c r="AC184" s="7" t="str" cm="1">
        <f t="array" ref="AC184">INDEX($B$10:$Y$25, INT((ROW(A175)-1)/24) + 1, MOD(ROW(A175)-1, 24) + 1)</f>
        <v>PBS</v>
      </c>
      <c r="AD184" s="5">
        <v>1</v>
      </c>
      <c r="AE184" s="5" cm="1">
        <f t="array" ref="AE184">INDEX($B$29:$Y$44, INT((ROW(A175)-1)/24) + 1, MOD(ROW(A175)-1, 24) + 1)</f>
        <v>0</v>
      </c>
      <c r="AF184" s="5" cm="1">
        <f t="array" ref="AF184">INDEX($B$48:$Y$63, INT((ROW(A175)-1)/24) + 1, MOD(ROW(A175)-1, 24) + 1)</f>
        <v>149075</v>
      </c>
    </row>
    <row r="185" spans="27:32" x14ac:dyDescent="0.2">
      <c r="AA185" s="5" t="s">
        <v>12</v>
      </c>
      <c r="AB185" s="5" t="s">
        <v>213</v>
      </c>
      <c r="AC185" s="7" t="str" cm="1">
        <f t="array" ref="AC185">INDEX($B$10:$Y$25, INT((ROW(A176)-1)/24) + 1, MOD(ROW(A176)-1, 24) + 1)</f>
        <v>PBS</v>
      </c>
      <c r="AD185" s="5">
        <v>1</v>
      </c>
      <c r="AE185" s="5" cm="1">
        <f t="array" ref="AE185">INDEX($B$29:$Y$44, INT((ROW(A176)-1)/24) + 1, MOD(ROW(A176)-1, 24) + 1)</f>
        <v>0</v>
      </c>
      <c r="AF185" s="5" cm="1">
        <f t="array" ref="AF185">INDEX($B$48:$Y$63, INT((ROW(A176)-1)/24) + 1, MOD(ROW(A176)-1, 24) + 1)</f>
        <v>159015</v>
      </c>
    </row>
    <row r="186" spans="27:32" x14ac:dyDescent="0.2">
      <c r="AA186" s="5" t="s">
        <v>12</v>
      </c>
      <c r="AB186" s="5" t="s">
        <v>214</v>
      </c>
      <c r="AC186" s="7" t="str" cm="1">
        <f t="array" ref="AC186">INDEX($B$10:$Y$25, INT((ROW(A177)-1)/24) + 1, MOD(ROW(A177)-1, 24) + 1)</f>
        <v>PBS</v>
      </c>
      <c r="AD186" s="5">
        <v>1</v>
      </c>
      <c r="AE186" s="5" cm="1">
        <f t="array" ref="AE186">INDEX($B$29:$Y$44, INT((ROW(A177)-1)/24) + 1, MOD(ROW(A177)-1, 24) + 1)</f>
        <v>0</v>
      </c>
      <c r="AF186" s="5" cm="1">
        <f t="array" ref="AF186">INDEX($B$48:$Y$63, INT((ROW(A177)-1)/24) + 1, MOD(ROW(A177)-1, 24) + 1)</f>
        <v>145400</v>
      </c>
    </row>
    <row r="187" spans="27:32" x14ac:dyDescent="0.2">
      <c r="AA187" s="5" t="s">
        <v>12</v>
      </c>
      <c r="AB187" s="5" t="s">
        <v>215</v>
      </c>
      <c r="AC187" s="7" t="str" cm="1">
        <f t="array" ref="AC187">INDEX($B$10:$Y$25, INT((ROW(A178)-1)/24) + 1, MOD(ROW(A178)-1, 24) + 1)</f>
        <v>PBS</v>
      </c>
      <c r="AD187" s="5">
        <v>1</v>
      </c>
      <c r="AE187" s="5" cm="1">
        <f t="array" ref="AE187">INDEX($B$29:$Y$44, INT((ROW(A178)-1)/24) + 1, MOD(ROW(A178)-1, 24) + 1)</f>
        <v>0</v>
      </c>
      <c r="AF187" s="5" cm="1">
        <f t="array" ref="AF187">INDEX($B$48:$Y$63, INT((ROW(A178)-1)/24) + 1, MOD(ROW(A178)-1, 24) + 1)</f>
        <v>139480</v>
      </c>
    </row>
    <row r="188" spans="27:32" x14ac:dyDescent="0.2">
      <c r="AA188" s="5" t="s">
        <v>12</v>
      </c>
      <c r="AB188" s="5" t="s">
        <v>216</v>
      </c>
      <c r="AC188" s="7" t="str" cm="1">
        <f t="array" ref="AC188">INDEX($B$10:$Y$25, INT((ROW(A179)-1)/24) + 1, MOD(ROW(A179)-1, 24) + 1)</f>
        <v>PBS</v>
      </c>
      <c r="AD188" s="5">
        <v>1</v>
      </c>
      <c r="AE188" s="5" cm="1">
        <f t="array" ref="AE188">INDEX($B$29:$Y$44, INT((ROW(A179)-1)/24) + 1, MOD(ROW(A179)-1, 24) + 1)</f>
        <v>0</v>
      </c>
      <c r="AF188" s="5" cm="1">
        <f t="array" ref="AF188">INDEX($B$48:$Y$63, INT((ROW(A179)-1)/24) + 1, MOD(ROW(A179)-1, 24) + 1)</f>
        <v>145160</v>
      </c>
    </row>
    <row r="189" spans="27:32" x14ac:dyDescent="0.2">
      <c r="AA189" s="5" t="s">
        <v>12</v>
      </c>
      <c r="AB189" s="5" t="s">
        <v>217</v>
      </c>
      <c r="AC189" s="7"/>
      <c r="AD189" s="5"/>
      <c r="AE189" s="5" cm="1">
        <f t="array" ref="AE189">INDEX($B$29:$Y$44, INT((ROW(A180)-1)/24) + 1, MOD(ROW(A180)-1, 24) + 1)</f>
        <v>0</v>
      </c>
      <c r="AF189" s="5" cm="1">
        <f t="array" ref="AF189">INDEX($B$48:$Y$63, INT((ROW(A180)-1)/24) + 1, MOD(ROW(A180)-1, 24) + 1)</f>
        <v>990</v>
      </c>
    </row>
    <row r="190" spans="27:32" x14ac:dyDescent="0.2">
      <c r="AA190" s="5" t="s">
        <v>12</v>
      </c>
      <c r="AB190" s="5" t="s">
        <v>218</v>
      </c>
      <c r="AC190" s="7" t="str" cm="1">
        <f t="array" ref="AC190">INDEX($B$10:$Y$25, INT((ROW(A181)-1)/24) + 1, MOD(ROW(A181)-1, 24) + 1)</f>
        <v>B7</v>
      </c>
      <c r="AD190" s="5">
        <v>1</v>
      </c>
      <c r="AE190" s="5" cm="1">
        <f t="array" ref="AE190">INDEX($B$29:$Y$44, INT((ROW(A181)-1)/24) + 1, MOD(ROW(A181)-1, 24) + 1)</f>
        <v>2.2000000000000002</v>
      </c>
      <c r="AF190" s="5" cm="1">
        <f t="array" ref="AF190">INDEX($B$48:$Y$63, INT((ROW(A181)-1)/24) + 1, MOD(ROW(A181)-1, 24) + 1)</f>
        <v>355</v>
      </c>
    </row>
    <row r="191" spans="27:32" x14ac:dyDescent="0.2">
      <c r="AA191" s="5" t="s">
        <v>12</v>
      </c>
      <c r="AB191" s="5" t="s">
        <v>219</v>
      </c>
      <c r="AC191" s="7" t="str" cm="1">
        <f t="array" ref="AC191">INDEX($B$10:$Y$25, INT((ROW(A182)-1)/24) + 1, MOD(ROW(A182)-1, 24) + 1)</f>
        <v>B7</v>
      </c>
      <c r="AD191" s="5">
        <v>1</v>
      </c>
      <c r="AE191" s="5" cm="1">
        <f t="array" ref="AE191">INDEX($B$29:$Y$44, INT((ROW(A182)-1)/24) + 1, MOD(ROW(A182)-1, 24) + 1)</f>
        <v>0.73333333333333339</v>
      </c>
      <c r="AF191" s="5" cm="1">
        <f t="array" ref="AF191">INDEX($B$48:$Y$63, INT((ROW(A182)-1)/24) + 1, MOD(ROW(A182)-1, 24) + 1)</f>
        <v>142090</v>
      </c>
    </row>
    <row r="192" spans="27:32" x14ac:dyDescent="0.2">
      <c r="AA192" s="5" t="s">
        <v>12</v>
      </c>
      <c r="AB192" s="5" t="s">
        <v>220</v>
      </c>
      <c r="AC192" s="7" t="str" cm="1">
        <f t="array" ref="AC192">INDEX($B$10:$Y$25, INT((ROW(A183)-1)/24) + 1, MOD(ROW(A183)-1, 24) + 1)</f>
        <v>B7</v>
      </c>
      <c r="AD192" s="5">
        <v>1</v>
      </c>
      <c r="AE192" s="5" cm="1">
        <f t="array" ref="AE192">INDEX($B$29:$Y$44, INT((ROW(A183)-1)/24) + 1, MOD(ROW(A183)-1, 24) + 1)</f>
        <v>0.24444444444444446</v>
      </c>
      <c r="AF192" s="5" cm="1">
        <f t="array" ref="AF192">INDEX($B$48:$Y$63, INT((ROW(A183)-1)/24) + 1, MOD(ROW(A183)-1, 24) + 1)</f>
        <v>144510</v>
      </c>
    </row>
    <row r="193" spans="27:32" x14ac:dyDescent="0.2">
      <c r="AA193" s="5" t="s">
        <v>12</v>
      </c>
      <c r="AB193" s="5" t="s">
        <v>221</v>
      </c>
      <c r="AC193" s="7" t="str" cm="1">
        <f t="array" ref="AC193">INDEX($B$10:$Y$25, INT((ROW(A184)-1)/24) + 1, MOD(ROW(A184)-1, 24) + 1)</f>
        <v>B7</v>
      </c>
      <c r="AD193" s="5">
        <v>1</v>
      </c>
      <c r="AE193" s="5" cm="1">
        <f t="array" ref="AE193">INDEX($B$29:$Y$44, INT((ROW(A184)-1)/24) + 1, MOD(ROW(A184)-1, 24) + 1)</f>
        <v>8.1481481481481488E-2</v>
      </c>
      <c r="AF193" s="5" cm="1">
        <f t="array" ref="AF193">INDEX($B$48:$Y$63, INT((ROW(A184)-1)/24) + 1, MOD(ROW(A184)-1, 24) + 1)</f>
        <v>151850</v>
      </c>
    </row>
    <row r="194" spans="27:32" x14ac:dyDescent="0.2">
      <c r="AA194" s="5" t="s">
        <v>12</v>
      </c>
      <c r="AB194" s="5" t="s">
        <v>222</v>
      </c>
      <c r="AC194" s="7" t="str" cm="1">
        <f t="array" ref="AC194">INDEX($B$10:$Y$25, INT((ROW(A185)-1)/24) + 1, MOD(ROW(A185)-1, 24) + 1)</f>
        <v>B7</v>
      </c>
      <c r="AD194" s="5">
        <v>1</v>
      </c>
      <c r="AE194" s="5" cm="1">
        <f t="array" ref="AE194">INDEX($B$29:$Y$44, INT((ROW(A185)-1)/24) + 1, MOD(ROW(A185)-1, 24) + 1)</f>
        <v>2.7160493827160497E-2</v>
      </c>
      <c r="AF194" s="5" cm="1">
        <f t="array" ref="AF194">INDEX($B$48:$Y$63, INT((ROW(A185)-1)/24) + 1, MOD(ROW(A185)-1, 24) + 1)</f>
        <v>144120</v>
      </c>
    </row>
    <row r="195" spans="27:32" x14ac:dyDescent="0.2">
      <c r="AA195" s="5" t="s">
        <v>12</v>
      </c>
      <c r="AB195" s="5" t="s">
        <v>223</v>
      </c>
      <c r="AC195" s="7" t="str" cm="1">
        <f t="array" ref="AC195">INDEX($B$10:$Y$25, INT((ROW(A186)-1)/24) + 1, MOD(ROW(A186)-1, 24) + 1)</f>
        <v>B7</v>
      </c>
      <c r="AD195" s="5">
        <v>1</v>
      </c>
      <c r="AE195" s="5" cm="1">
        <f t="array" ref="AE195">INDEX($B$29:$Y$44, INT((ROW(A186)-1)/24) + 1, MOD(ROW(A186)-1, 24) + 1)</f>
        <v>9.0534979423868324E-3</v>
      </c>
      <c r="AF195" s="5" cm="1">
        <f t="array" ref="AF195">INDEX($B$48:$Y$63, INT((ROW(A186)-1)/24) + 1, MOD(ROW(A186)-1, 24) + 1)</f>
        <v>161390</v>
      </c>
    </row>
    <row r="196" spans="27:32" x14ac:dyDescent="0.2">
      <c r="AA196" s="5" t="s">
        <v>12</v>
      </c>
      <c r="AB196" s="5" t="s">
        <v>224</v>
      </c>
      <c r="AC196" s="7" t="str" cm="1">
        <f t="array" ref="AC196">INDEX($B$10:$Y$25, INT((ROW(A187)-1)/24) + 1, MOD(ROW(A187)-1, 24) + 1)</f>
        <v>B7</v>
      </c>
      <c r="AD196" s="5">
        <v>1</v>
      </c>
      <c r="AE196" s="5" cm="1">
        <f t="array" ref="AE196">INDEX($B$29:$Y$44, INT((ROW(A187)-1)/24) + 1, MOD(ROW(A187)-1, 24) + 1)</f>
        <v>3.0178326474622776E-3</v>
      </c>
      <c r="AF196" s="5" cm="1">
        <f t="array" ref="AF196">INDEX($B$48:$Y$63, INT((ROW(A187)-1)/24) + 1, MOD(ROW(A187)-1, 24) + 1)</f>
        <v>158905</v>
      </c>
    </row>
    <row r="197" spans="27:32" x14ac:dyDescent="0.2">
      <c r="AA197" s="5" t="s">
        <v>12</v>
      </c>
      <c r="AB197" s="5" t="s">
        <v>225</v>
      </c>
      <c r="AC197" s="7" t="str" cm="1">
        <f t="array" ref="AC197">INDEX($B$10:$Y$25, INT((ROW(A188)-1)/24) + 1, MOD(ROW(A188)-1, 24) + 1)</f>
        <v>B7</v>
      </c>
      <c r="AD197" s="5">
        <v>1</v>
      </c>
      <c r="AE197" s="5" cm="1">
        <f t="array" ref="AE197">INDEX($B$29:$Y$44, INT((ROW(A188)-1)/24) + 1, MOD(ROW(A188)-1, 24) + 1)</f>
        <v>1.0059442158207592E-3</v>
      </c>
      <c r="AF197" s="5" cm="1">
        <f t="array" ref="AF197">INDEX($B$48:$Y$63, INT((ROW(A188)-1)/24) + 1, MOD(ROW(A188)-1, 24) + 1)</f>
        <v>140920</v>
      </c>
    </row>
    <row r="198" spans="27:32" x14ac:dyDescent="0.2">
      <c r="AA198" s="5" t="s">
        <v>12</v>
      </c>
      <c r="AB198" s="5" t="s">
        <v>226</v>
      </c>
      <c r="AC198" s="7" t="str" cm="1">
        <f t="array" ref="AC198">INDEX($B$10:$Y$25, INT((ROW(A189)-1)/24) + 1, MOD(ROW(A189)-1, 24) + 1)</f>
        <v>B7</v>
      </c>
      <c r="AD198" s="5">
        <v>1</v>
      </c>
      <c r="AE198" s="5" cm="1">
        <f t="array" ref="AE198">INDEX($B$29:$Y$44, INT((ROW(A189)-1)/24) + 1, MOD(ROW(A189)-1, 24) + 1)</f>
        <v>3.3531473860691973E-4</v>
      </c>
      <c r="AF198" s="5" cm="1">
        <f t="array" ref="AF198">INDEX($B$48:$Y$63, INT((ROW(A189)-1)/24) + 1, MOD(ROW(A189)-1, 24) + 1)</f>
        <v>153420</v>
      </c>
    </row>
    <row r="199" spans="27:32" x14ac:dyDescent="0.2">
      <c r="AA199" s="5" t="s">
        <v>12</v>
      </c>
      <c r="AB199" s="5" t="s">
        <v>227</v>
      </c>
      <c r="AC199" s="7" t="str" cm="1">
        <f t="array" ref="AC199">INDEX($B$10:$Y$25, INT((ROW(A190)-1)/24) + 1, MOD(ROW(A190)-1, 24) + 1)</f>
        <v>B7</v>
      </c>
      <c r="AD199" s="5">
        <v>1</v>
      </c>
      <c r="AE199" s="5" cm="1">
        <f t="array" ref="AE199">INDEX($B$29:$Y$44, INT((ROW(A190)-1)/24) + 1, MOD(ROW(A190)-1, 24) + 1)</f>
        <v>1.1177157953563991E-4</v>
      </c>
      <c r="AF199" s="5" cm="1">
        <f t="array" ref="AF199">INDEX($B$48:$Y$63, INT((ROW(A190)-1)/24) + 1, MOD(ROW(A190)-1, 24) + 1)</f>
        <v>141245</v>
      </c>
    </row>
    <row r="200" spans="27:32" x14ac:dyDescent="0.2">
      <c r="AA200" s="5" t="s">
        <v>12</v>
      </c>
      <c r="AB200" s="5" t="s">
        <v>228</v>
      </c>
      <c r="AC200" s="7" t="str" cm="1">
        <f t="array" ref="AC200">INDEX($B$10:$Y$25, INT((ROW(A191)-1)/24) + 1, MOD(ROW(A191)-1, 24) + 1)</f>
        <v>B7</v>
      </c>
      <c r="AD200" s="5">
        <v>1</v>
      </c>
      <c r="AE200" s="5" cm="1">
        <f t="array" ref="AE200">INDEX($B$29:$Y$44, INT((ROW(A191)-1)/24) + 1, MOD(ROW(A191)-1, 24) + 1)</f>
        <v>3.7257193178546638E-5</v>
      </c>
      <c r="AF200" s="5" cm="1">
        <f t="array" ref="AF200">INDEX($B$48:$Y$63, INT((ROW(A191)-1)/24) + 1, MOD(ROW(A191)-1, 24) + 1)</f>
        <v>124920</v>
      </c>
    </row>
    <row r="201" spans="27:32" x14ac:dyDescent="0.2">
      <c r="AA201" s="5" t="s">
        <v>12</v>
      </c>
      <c r="AB201" s="5" t="s">
        <v>229</v>
      </c>
      <c r="AC201" s="7"/>
      <c r="AD201" s="5"/>
      <c r="AE201" s="5" cm="1">
        <f t="array" ref="AE201">INDEX($B$29:$Y$44, INT((ROW(A192)-1)/24) + 1, MOD(ROW(A192)-1, 24) + 1)</f>
        <v>0</v>
      </c>
      <c r="AF201" s="5" cm="1">
        <f t="array" ref="AF201">INDEX($B$48:$Y$63, INT((ROW(A192)-1)/24) + 1, MOD(ROW(A192)-1, 24) + 1)</f>
        <v>600</v>
      </c>
    </row>
    <row r="202" spans="27:32" x14ac:dyDescent="0.2">
      <c r="AA202" s="5" t="s">
        <v>12</v>
      </c>
      <c r="AB202" s="5" t="s">
        <v>230</v>
      </c>
      <c r="AC202" s="7" t="str" cm="1">
        <f t="array" ref="AC202">INDEX($B$10:$Y$25, INT((ROW(A193)-1)/24) + 1, MOD(ROW(A193)-1, 24) + 1)</f>
        <v>Cy.003</v>
      </c>
      <c r="AD202" s="5">
        <v>1</v>
      </c>
      <c r="AE202" s="5" cm="1">
        <f t="array" ref="AE202">INDEX($B$29:$Y$44, INT((ROW(A193)-1)/24) + 1, MOD(ROW(A193)-1, 24) + 1)</f>
        <v>0.55999999999999994</v>
      </c>
      <c r="AF202" s="5" cm="1">
        <f t="array" ref="AF202">INDEX($B$48:$Y$63, INT((ROW(A193)-1)/24) + 1, MOD(ROW(A193)-1, 24) + 1)</f>
        <v>7060</v>
      </c>
    </row>
    <row r="203" spans="27:32" x14ac:dyDescent="0.2">
      <c r="AA203" s="5" t="s">
        <v>12</v>
      </c>
      <c r="AB203" s="5" t="s">
        <v>231</v>
      </c>
      <c r="AC203" s="7" t="str" cm="1">
        <f t="array" ref="AC203">INDEX($B$10:$Y$25, INT((ROW(A194)-1)/24) + 1, MOD(ROW(A194)-1, 24) + 1)</f>
        <v>Cy.003</v>
      </c>
      <c r="AD203" s="5">
        <v>1</v>
      </c>
      <c r="AE203" s="5" cm="1">
        <f t="array" ref="AE203">INDEX($B$29:$Y$44, INT((ROW(A194)-1)/24) + 1, MOD(ROW(A194)-1, 24) + 1)</f>
        <v>0.18666666666666665</v>
      </c>
      <c r="AF203" s="5" cm="1">
        <f t="array" ref="AF203">INDEX($B$48:$Y$63, INT((ROW(A194)-1)/24) + 1, MOD(ROW(A194)-1, 24) + 1)</f>
        <v>22730</v>
      </c>
    </row>
    <row r="204" spans="27:32" x14ac:dyDescent="0.2">
      <c r="AA204" s="5" t="s">
        <v>12</v>
      </c>
      <c r="AB204" s="5" t="s">
        <v>232</v>
      </c>
      <c r="AC204" s="7" t="str" cm="1">
        <f t="array" ref="AC204">INDEX($B$10:$Y$25, INT((ROW(A195)-1)/24) + 1, MOD(ROW(A195)-1, 24) + 1)</f>
        <v>Cy.003</v>
      </c>
      <c r="AD204" s="5">
        <v>1</v>
      </c>
      <c r="AE204" s="5" cm="1">
        <f t="array" ref="AE204">INDEX($B$29:$Y$44, INT((ROW(A195)-1)/24) + 1, MOD(ROW(A195)-1, 24) + 1)</f>
        <v>6.2222222222222213E-2</v>
      </c>
      <c r="AF204" s="5" cm="1">
        <f t="array" ref="AF204">INDEX($B$48:$Y$63, INT((ROW(A195)-1)/24) + 1, MOD(ROW(A195)-1, 24) + 1)</f>
        <v>33410</v>
      </c>
    </row>
    <row r="205" spans="27:32" x14ac:dyDescent="0.2">
      <c r="AA205" s="5" t="s">
        <v>12</v>
      </c>
      <c r="AB205" s="5" t="s">
        <v>233</v>
      </c>
      <c r="AC205" s="7" t="str" cm="1">
        <f t="array" ref="AC205">INDEX($B$10:$Y$25, INT((ROW(A196)-1)/24) + 1, MOD(ROW(A196)-1, 24) + 1)</f>
        <v>Cy.003</v>
      </c>
      <c r="AD205" s="5">
        <v>1</v>
      </c>
      <c r="AE205" s="5" cm="1">
        <f t="array" ref="AE205">INDEX($B$29:$Y$44, INT((ROW(A196)-1)/24) + 1, MOD(ROW(A196)-1, 24) + 1)</f>
        <v>2.0740740740740737E-2</v>
      </c>
      <c r="AF205" s="5" cm="1">
        <f t="array" ref="AF205">INDEX($B$48:$Y$63, INT((ROW(A196)-1)/24) + 1, MOD(ROW(A196)-1, 24) + 1)</f>
        <v>54320</v>
      </c>
    </row>
    <row r="206" spans="27:32" x14ac:dyDescent="0.2">
      <c r="AA206" s="5" t="s">
        <v>12</v>
      </c>
      <c r="AB206" s="5" t="s">
        <v>234</v>
      </c>
      <c r="AC206" s="7" t="str" cm="1">
        <f t="array" ref="AC206">INDEX($B$10:$Y$25, INT((ROW(A197)-1)/24) + 1, MOD(ROW(A197)-1, 24) + 1)</f>
        <v>Cy.003</v>
      </c>
      <c r="AD206" s="5">
        <v>1</v>
      </c>
      <c r="AE206" s="5" cm="1">
        <f t="array" ref="AE206">INDEX($B$29:$Y$44, INT((ROW(A197)-1)/24) + 1, MOD(ROW(A197)-1, 24) + 1)</f>
        <v>6.9135802469135789E-3</v>
      </c>
      <c r="AF206" s="5" cm="1">
        <f t="array" ref="AF206">INDEX($B$48:$Y$63, INT((ROW(A197)-1)/24) + 1, MOD(ROW(A197)-1, 24) + 1)</f>
        <v>71190</v>
      </c>
    </row>
    <row r="207" spans="27:32" x14ac:dyDescent="0.2">
      <c r="AA207" s="5" t="s">
        <v>12</v>
      </c>
      <c r="AB207" s="5" t="s">
        <v>235</v>
      </c>
      <c r="AC207" s="7" t="str" cm="1">
        <f t="array" ref="AC207">INDEX($B$10:$Y$25, INT((ROW(A198)-1)/24) + 1, MOD(ROW(A198)-1, 24) + 1)</f>
        <v>Cy.003</v>
      </c>
      <c r="AD207" s="5">
        <v>1</v>
      </c>
      <c r="AE207" s="5" cm="1">
        <f t="array" ref="AE207">INDEX($B$29:$Y$44, INT((ROW(A198)-1)/24) + 1, MOD(ROW(A198)-1, 24) + 1)</f>
        <v>2.3045267489711931E-3</v>
      </c>
      <c r="AF207" s="5" cm="1">
        <f t="array" ref="AF207">INDEX($B$48:$Y$63, INT((ROW(A198)-1)/24) + 1, MOD(ROW(A198)-1, 24) + 1)</f>
        <v>81420</v>
      </c>
    </row>
    <row r="208" spans="27:32" x14ac:dyDescent="0.2">
      <c r="AA208" s="5" t="s">
        <v>12</v>
      </c>
      <c r="AB208" s="5" t="s">
        <v>236</v>
      </c>
      <c r="AC208" s="7" t="str" cm="1">
        <f t="array" ref="AC208">INDEX($B$10:$Y$25, INT((ROW(A199)-1)/24) + 1, MOD(ROW(A199)-1, 24) + 1)</f>
        <v>Cy.003</v>
      </c>
      <c r="AD208" s="5">
        <v>1</v>
      </c>
      <c r="AE208" s="5" cm="1">
        <f t="array" ref="AE208">INDEX($B$29:$Y$44, INT((ROW(A199)-1)/24) + 1, MOD(ROW(A199)-1, 24) + 1)</f>
        <v>7.6817558299039767E-4</v>
      </c>
      <c r="AF208" s="5" cm="1">
        <f t="array" ref="AF208">INDEX($B$48:$Y$63, INT((ROW(A199)-1)/24) + 1, MOD(ROW(A199)-1, 24) + 1)</f>
        <v>85855</v>
      </c>
    </row>
    <row r="209" spans="27:32" x14ac:dyDescent="0.2">
      <c r="AA209" s="5" t="s">
        <v>12</v>
      </c>
      <c r="AB209" s="5" t="s">
        <v>237</v>
      </c>
      <c r="AC209" s="7" t="str" cm="1">
        <f t="array" ref="AC209">INDEX($B$10:$Y$25, INT((ROW(A200)-1)/24) + 1, MOD(ROW(A200)-1, 24) + 1)</f>
        <v>Cy.003</v>
      </c>
      <c r="AD209" s="5">
        <v>1</v>
      </c>
      <c r="AE209" s="5" cm="1">
        <f t="array" ref="AE209">INDEX($B$29:$Y$44, INT((ROW(A200)-1)/24) + 1, MOD(ROW(A200)-1, 24) + 1)</f>
        <v>2.5605852766346591E-4</v>
      </c>
      <c r="AF209" s="5" cm="1">
        <f t="array" ref="AF209">INDEX($B$48:$Y$63, INT((ROW(A200)-1)/24) + 1, MOD(ROW(A200)-1, 24) + 1)</f>
        <v>98280</v>
      </c>
    </row>
    <row r="210" spans="27:32" x14ac:dyDescent="0.2">
      <c r="AA210" s="5" t="s">
        <v>12</v>
      </c>
      <c r="AB210" s="5" t="s">
        <v>238</v>
      </c>
      <c r="AC210" s="7" t="str" cm="1">
        <f t="array" ref="AC210">INDEX($B$10:$Y$25, INT((ROW(A201)-1)/24) + 1, MOD(ROW(A201)-1, 24) + 1)</f>
        <v>Cy.003</v>
      </c>
      <c r="AD210" s="5">
        <v>1</v>
      </c>
      <c r="AE210" s="5" cm="1">
        <f t="array" ref="AE210">INDEX($B$29:$Y$44, INT((ROW(A201)-1)/24) + 1, MOD(ROW(A201)-1, 24) + 1)</f>
        <v>8.535284255448864E-5</v>
      </c>
      <c r="AF210" s="5" cm="1">
        <f t="array" ref="AF210">INDEX($B$48:$Y$63, INT((ROW(A201)-1)/24) + 1, MOD(ROW(A201)-1, 24) + 1)</f>
        <v>100800</v>
      </c>
    </row>
    <row r="211" spans="27:32" x14ac:dyDescent="0.2">
      <c r="AA211" s="5" t="s">
        <v>12</v>
      </c>
      <c r="AB211" s="5" t="s">
        <v>239</v>
      </c>
      <c r="AC211" s="7" t="str" cm="1">
        <f t="array" ref="AC211">INDEX($B$10:$Y$25, INT((ROW(A202)-1)/24) + 1, MOD(ROW(A202)-1, 24) + 1)</f>
        <v>Cy.003</v>
      </c>
      <c r="AD211" s="5">
        <v>1</v>
      </c>
      <c r="AE211" s="5" cm="1">
        <f t="array" ref="AE211">INDEX($B$29:$Y$44, INT((ROW(A202)-1)/24) + 1, MOD(ROW(A202)-1, 24) + 1)</f>
        <v>2.8450947518162879E-5</v>
      </c>
      <c r="AF211" s="5" cm="1">
        <f t="array" ref="AF211">INDEX($B$48:$Y$63, INT((ROW(A202)-1)/24) + 1, MOD(ROW(A202)-1, 24) + 1)</f>
        <v>104345</v>
      </c>
    </row>
    <row r="212" spans="27:32" x14ac:dyDescent="0.2">
      <c r="AA212" s="5" t="s">
        <v>12</v>
      </c>
      <c r="AB212" s="5" t="s">
        <v>240</v>
      </c>
      <c r="AC212" s="7" t="str" cm="1">
        <f t="array" ref="AC212">INDEX($B$10:$Y$25, INT((ROW(A203)-1)/24) + 1, MOD(ROW(A203)-1, 24) + 1)</f>
        <v>Cy.003</v>
      </c>
      <c r="AD212" s="5">
        <v>1</v>
      </c>
      <c r="AE212" s="5" cm="1">
        <f t="array" ref="AE212">INDEX($B$29:$Y$44, INT((ROW(A203)-1)/24) + 1, MOD(ROW(A203)-1, 24) + 1)</f>
        <v>9.4836491727209591E-6</v>
      </c>
      <c r="AF212" s="5" cm="1">
        <f t="array" ref="AF212">INDEX($B$48:$Y$63, INT((ROW(A203)-1)/24) + 1, MOD(ROW(A203)-1, 24) + 1)</f>
        <v>106750</v>
      </c>
    </row>
    <row r="213" spans="27:32" x14ac:dyDescent="0.2">
      <c r="AA213" s="5" t="s">
        <v>12</v>
      </c>
      <c r="AB213" s="5" t="s">
        <v>241</v>
      </c>
      <c r="AC213" s="7"/>
      <c r="AD213" s="5"/>
      <c r="AE213" s="5" cm="1">
        <f t="array" ref="AE213">INDEX($B$29:$Y$44, INT((ROW(A204)-1)/24) + 1, MOD(ROW(A204)-1, 24) + 1)</f>
        <v>0</v>
      </c>
      <c r="AF213" s="5" cm="1">
        <f t="array" ref="AF213">INDEX($B$48:$Y$63, INT((ROW(A204)-1)/24) + 1, MOD(ROW(A204)-1, 24) + 1)</f>
        <v>640</v>
      </c>
    </row>
    <row r="214" spans="27:32" x14ac:dyDescent="0.2">
      <c r="AA214" s="5" t="s">
        <v>12</v>
      </c>
      <c r="AB214" s="5" t="s">
        <v>242</v>
      </c>
      <c r="AC214" s="7" t="str" cm="1">
        <f t="array" ref="AC214">INDEX($B$10:$Y$25, INT((ROW(A205)-1)/24) + 1, MOD(ROW(A205)-1, 24) + 1)</f>
        <v>B8</v>
      </c>
      <c r="AD214" s="5">
        <v>1</v>
      </c>
      <c r="AE214" s="5" cm="1">
        <f t="array" ref="AE214">INDEX($B$29:$Y$44, INT((ROW(A205)-1)/24) + 1, MOD(ROW(A205)-1, 24) + 1)</f>
        <v>1</v>
      </c>
      <c r="AF214" s="5" cm="1">
        <f t="array" ref="AF214">INDEX($B$48:$Y$63, INT((ROW(A205)-1)/24) + 1, MOD(ROW(A205)-1, 24) + 1)</f>
        <v>6635</v>
      </c>
    </row>
    <row r="215" spans="27:32" x14ac:dyDescent="0.2">
      <c r="AA215" s="5" t="s">
        <v>12</v>
      </c>
      <c r="AB215" s="5" t="s">
        <v>243</v>
      </c>
      <c r="AC215" s="7" t="str" cm="1">
        <f t="array" ref="AC215">INDEX($B$10:$Y$25, INT((ROW(A206)-1)/24) + 1, MOD(ROW(A206)-1, 24) + 1)</f>
        <v>B8</v>
      </c>
      <c r="AD215" s="5">
        <v>1</v>
      </c>
      <c r="AE215" s="5" cm="1">
        <f t="array" ref="AE215">INDEX($B$29:$Y$44, INT((ROW(A206)-1)/24) + 1, MOD(ROW(A206)-1, 24) + 1)</f>
        <v>0.33333333333333331</v>
      </c>
      <c r="AF215" s="5" cm="1">
        <f t="array" ref="AF215">INDEX($B$48:$Y$63, INT((ROW(A206)-1)/24) + 1, MOD(ROW(A206)-1, 24) + 1)</f>
        <v>35735</v>
      </c>
    </row>
    <row r="216" spans="27:32" x14ac:dyDescent="0.2">
      <c r="AA216" s="5" t="s">
        <v>12</v>
      </c>
      <c r="AB216" s="5" t="s">
        <v>244</v>
      </c>
      <c r="AC216" s="7" t="str" cm="1">
        <f t="array" ref="AC216">INDEX($B$10:$Y$25, INT((ROW(A207)-1)/24) + 1, MOD(ROW(A207)-1, 24) + 1)</f>
        <v>B8</v>
      </c>
      <c r="AD216" s="5">
        <v>1</v>
      </c>
      <c r="AE216" s="5" cm="1">
        <f t="array" ref="AE216">INDEX($B$29:$Y$44, INT((ROW(A207)-1)/24) + 1, MOD(ROW(A207)-1, 24) + 1)</f>
        <v>0.1111111111111111</v>
      </c>
      <c r="AF216" s="5" cm="1">
        <f t="array" ref="AF216">INDEX($B$48:$Y$63, INT((ROW(A207)-1)/24) + 1, MOD(ROW(A207)-1, 24) + 1)</f>
        <v>44925</v>
      </c>
    </row>
    <row r="217" spans="27:32" x14ac:dyDescent="0.2">
      <c r="AA217" s="5" t="s">
        <v>12</v>
      </c>
      <c r="AB217" s="5" t="s">
        <v>245</v>
      </c>
      <c r="AC217" s="7" t="str" cm="1">
        <f t="array" ref="AC217">INDEX($B$10:$Y$25, INT((ROW(A208)-1)/24) + 1, MOD(ROW(A208)-1, 24) + 1)</f>
        <v>B8</v>
      </c>
      <c r="AD217" s="5">
        <v>1</v>
      </c>
      <c r="AE217" s="5" cm="1">
        <f t="array" ref="AE217">INDEX($B$29:$Y$44, INT((ROW(A208)-1)/24) + 1, MOD(ROW(A208)-1, 24) + 1)</f>
        <v>3.7037037037037035E-2</v>
      </c>
      <c r="AF217" s="5" cm="1">
        <f t="array" ref="AF217">INDEX($B$48:$Y$63, INT((ROW(A208)-1)/24) + 1, MOD(ROW(A208)-1, 24) + 1)</f>
        <v>69625</v>
      </c>
    </row>
    <row r="218" spans="27:32" x14ac:dyDescent="0.2">
      <c r="AA218" s="5" t="s">
        <v>12</v>
      </c>
      <c r="AB218" s="5" t="s">
        <v>246</v>
      </c>
      <c r="AC218" s="7" t="str" cm="1">
        <f t="array" ref="AC218">INDEX($B$10:$Y$25, INT((ROW(A209)-1)/24) + 1, MOD(ROW(A209)-1, 24) + 1)</f>
        <v>B8</v>
      </c>
      <c r="AD218" s="5">
        <v>1</v>
      </c>
      <c r="AE218" s="5" cm="1">
        <f t="array" ref="AE218">INDEX($B$29:$Y$44, INT((ROW(A209)-1)/24) + 1, MOD(ROW(A209)-1, 24) + 1)</f>
        <v>1.2345679012345678E-2</v>
      </c>
      <c r="AF218" s="5" cm="1">
        <f t="array" ref="AF218">INDEX($B$48:$Y$63, INT((ROW(A209)-1)/24) + 1, MOD(ROW(A209)-1, 24) + 1)</f>
        <v>97445</v>
      </c>
    </row>
    <row r="219" spans="27:32" x14ac:dyDescent="0.2">
      <c r="AA219" s="5" t="s">
        <v>12</v>
      </c>
      <c r="AB219" s="5" t="s">
        <v>247</v>
      </c>
      <c r="AC219" s="7" t="str" cm="1">
        <f t="array" ref="AC219">INDEX($B$10:$Y$25, INT((ROW(A210)-1)/24) + 1, MOD(ROW(A210)-1, 24) + 1)</f>
        <v>B8</v>
      </c>
      <c r="AD219" s="5">
        <v>1</v>
      </c>
      <c r="AE219" s="5" cm="1">
        <f t="array" ref="AE219">INDEX($B$29:$Y$44, INT((ROW(A210)-1)/24) + 1, MOD(ROW(A210)-1, 24) + 1)</f>
        <v>4.1152263374485592E-3</v>
      </c>
      <c r="AF219" s="5" cm="1">
        <f t="array" ref="AF219">INDEX($B$48:$Y$63, INT((ROW(A210)-1)/24) + 1, MOD(ROW(A210)-1, 24) + 1)</f>
        <v>111540</v>
      </c>
    </row>
    <row r="220" spans="27:32" x14ac:dyDescent="0.2">
      <c r="AA220" s="5" t="s">
        <v>12</v>
      </c>
      <c r="AB220" s="5" t="s">
        <v>248</v>
      </c>
      <c r="AC220" s="7" t="str" cm="1">
        <f t="array" ref="AC220">INDEX($B$10:$Y$25, INT((ROW(A211)-1)/24) + 1, MOD(ROW(A211)-1, 24) + 1)</f>
        <v>B8</v>
      </c>
      <c r="AD220" s="5">
        <v>1</v>
      </c>
      <c r="AE220" s="5" cm="1">
        <f t="array" ref="AE220">INDEX($B$29:$Y$44, INT((ROW(A211)-1)/24) + 1, MOD(ROW(A211)-1, 24) + 1)</f>
        <v>1.3717421124828531E-3</v>
      </c>
      <c r="AF220" s="5" cm="1">
        <f t="array" ref="AF220">INDEX($B$48:$Y$63, INT((ROW(A211)-1)/24) + 1, MOD(ROW(A211)-1, 24) + 1)</f>
        <v>139500</v>
      </c>
    </row>
    <row r="221" spans="27:32" x14ac:dyDescent="0.2">
      <c r="AA221" s="5" t="s">
        <v>12</v>
      </c>
      <c r="AB221" s="5" t="s">
        <v>249</v>
      </c>
      <c r="AC221" s="7" t="str" cm="1">
        <f t="array" ref="AC221">INDEX($B$10:$Y$25, INT((ROW(A212)-1)/24) + 1, MOD(ROW(A212)-1, 24) + 1)</f>
        <v>B8</v>
      </c>
      <c r="AD221" s="5">
        <v>1</v>
      </c>
      <c r="AE221" s="5" cm="1">
        <f t="array" ref="AE221">INDEX($B$29:$Y$44, INT((ROW(A212)-1)/24) + 1, MOD(ROW(A212)-1, 24) + 1)</f>
        <v>4.5724737082761773E-4</v>
      </c>
      <c r="AF221" s="5" cm="1">
        <f t="array" ref="AF221">INDEX($B$48:$Y$63, INT((ROW(A212)-1)/24) + 1, MOD(ROW(A212)-1, 24) + 1)</f>
        <v>141755</v>
      </c>
    </row>
    <row r="222" spans="27:32" x14ac:dyDescent="0.2">
      <c r="AA222" s="5" t="s">
        <v>12</v>
      </c>
      <c r="AB222" s="5" t="s">
        <v>250</v>
      </c>
      <c r="AC222" s="7" t="str" cm="1">
        <f t="array" ref="AC222">INDEX($B$10:$Y$25, INT((ROW(A213)-1)/24) + 1, MOD(ROW(A213)-1, 24) + 1)</f>
        <v>B8</v>
      </c>
      <c r="AD222" s="5">
        <v>1</v>
      </c>
      <c r="AE222" s="5" cm="1">
        <f t="array" ref="AE222">INDEX($B$29:$Y$44, INT((ROW(A213)-1)/24) + 1, MOD(ROW(A213)-1, 24) + 1)</f>
        <v>1.5241579027587258E-4</v>
      </c>
      <c r="AF222" s="5" cm="1">
        <f t="array" ref="AF222">INDEX($B$48:$Y$63, INT((ROW(A213)-1)/24) + 1, MOD(ROW(A213)-1, 24) + 1)</f>
        <v>147840</v>
      </c>
    </row>
    <row r="223" spans="27:32" x14ac:dyDescent="0.2">
      <c r="AA223" s="5" t="s">
        <v>12</v>
      </c>
      <c r="AB223" s="5" t="s">
        <v>251</v>
      </c>
      <c r="AC223" s="7" t="str" cm="1">
        <f t="array" ref="AC223">INDEX($B$10:$Y$25, INT((ROW(A214)-1)/24) + 1, MOD(ROW(A214)-1, 24) + 1)</f>
        <v>B8</v>
      </c>
      <c r="AD223" s="5">
        <v>1</v>
      </c>
      <c r="AE223" s="5" cm="1">
        <f t="array" ref="AE223">INDEX($B$29:$Y$44, INT((ROW(A214)-1)/24) + 1, MOD(ROW(A214)-1, 24) + 1)</f>
        <v>5.0805263425290864E-5</v>
      </c>
      <c r="AF223" s="5" cm="1">
        <f t="array" ref="AF223">INDEX($B$48:$Y$63, INT((ROW(A214)-1)/24) + 1, MOD(ROW(A214)-1, 24) + 1)</f>
        <v>137400</v>
      </c>
    </row>
    <row r="224" spans="27:32" x14ac:dyDescent="0.2">
      <c r="AA224" s="5" t="s">
        <v>12</v>
      </c>
      <c r="AB224" s="5" t="s">
        <v>252</v>
      </c>
      <c r="AC224" s="7" t="str" cm="1">
        <f t="array" ref="AC224">INDEX($B$10:$Y$25, INT((ROW(A215)-1)/24) + 1, MOD(ROW(A215)-1, 24) + 1)</f>
        <v>B8</v>
      </c>
      <c r="AD224" s="5">
        <v>1</v>
      </c>
      <c r="AE224" s="5" cm="1">
        <f t="array" ref="AE224">INDEX($B$29:$Y$44, INT((ROW(A215)-1)/24) + 1, MOD(ROW(A215)-1, 24) + 1)</f>
        <v>1.6935087808430289E-5</v>
      </c>
      <c r="AF224" s="5" cm="1">
        <f t="array" ref="AF224">INDEX($B$48:$Y$63, INT((ROW(A215)-1)/24) + 1, MOD(ROW(A215)-1, 24) + 1)</f>
        <v>138640</v>
      </c>
    </row>
    <row r="225" spans="27:32" x14ac:dyDescent="0.2">
      <c r="AA225" s="5" t="s">
        <v>12</v>
      </c>
      <c r="AB225" s="5" t="s">
        <v>253</v>
      </c>
      <c r="AC225" s="7"/>
      <c r="AD225" s="5"/>
      <c r="AE225" s="5" cm="1">
        <f t="array" ref="AE225">INDEX($B$29:$Y$44, INT((ROW(A216)-1)/24) + 1, MOD(ROW(A216)-1, 24) + 1)</f>
        <v>0</v>
      </c>
      <c r="AF225" s="5" cm="1">
        <f t="array" ref="AF225">INDEX($B$48:$Y$63, INT((ROW(A216)-1)/24) + 1, MOD(ROW(A216)-1, 24) + 1)</f>
        <v>675</v>
      </c>
    </row>
    <row r="226" spans="27:32" x14ac:dyDescent="0.2">
      <c r="AA226" s="5" t="s">
        <v>12</v>
      </c>
      <c r="AB226" s="5" t="s">
        <v>254</v>
      </c>
      <c r="AC226" s="7" t="str" cm="1">
        <f t="array" ref="AC226">INDEX($B$10:$Y$25, INT((ROW(A217)-1)/24) + 1, MOD(ROW(A217)-1, 24) + 1)</f>
        <v>Cy.003</v>
      </c>
      <c r="AD226" s="5">
        <v>1</v>
      </c>
      <c r="AE226" s="5" cm="1">
        <f t="array" ref="AE226">INDEX($B$29:$Y$44, INT((ROW(A217)-1)/24) + 1, MOD(ROW(A217)-1, 24) + 1)</f>
        <v>0.55999999999999994</v>
      </c>
      <c r="AF226" s="5" cm="1">
        <f t="array" ref="AF226">INDEX($B$48:$Y$63, INT((ROW(A217)-1)/24) + 1, MOD(ROW(A217)-1, 24) + 1)</f>
        <v>6885</v>
      </c>
    </row>
    <row r="227" spans="27:32" x14ac:dyDescent="0.2">
      <c r="AA227" s="5" t="s">
        <v>12</v>
      </c>
      <c r="AB227" s="5" t="s">
        <v>255</v>
      </c>
      <c r="AC227" s="7" t="str" cm="1">
        <f t="array" ref="AC227">INDEX($B$10:$Y$25, INT((ROW(A218)-1)/24) + 1, MOD(ROW(A218)-1, 24) + 1)</f>
        <v>Cy.003</v>
      </c>
      <c r="AD227" s="5">
        <v>1</v>
      </c>
      <c r="AE227" s="5" cm="1">
        <f t="array" ref="AE227">INDEX($B$29:$Y$44, INT((ROW(A218)-1)/24) + 1, MOD(ROW(A218)-1, 24) + 1)</f>
        <v>0.18666666666666665</v>
      </c>
      <c r="AF227" s="5" cm="1">
        <f t="array" ref="AF227">INDEX($B$48:$Y$63, INT((ROW(A218)-1)/24) + 1, MOD(ROW(A218)-1, 24) + 1)</f>
        <v>9360</v>
      </c>
    </row>
    <row r="228" spans="27:32" x14ac:dyDescent="0.2">
      <c r="AA228" s="5" t="s">
        <v>12</v>
      </c>
      <c r="AB228" s="5" t="s">
        <v>256</v>
      </c>
      <c r="AC228" s="7" t="str" cm="1">
        <f t="array" ref="AC228">INDEX($B$10:$Y$25, INT((ROW(A219)-1)/24) + 1, MOD(ROW(A219)-1, 24) + 1)</f>
        <v>Cy.003</v>
      </c>
      <c r="AD228" s="5">
        <v>1</v>
      </c>
      <c r="AE228" s="5" cm="1">
        <f t="array" ref="AE228">INDEX($B$29:$Y$44, INT((ROW(A219)-1)/24) + 1, MOD(ROW(A219)-1, 24) + 1)</f>
        <v>6.2222222222222213E-2</v>
      </c>
      <c r="AF228" s="5" cm="1">
        <f t="array" ref="AF228">INDEX($B$48:$Y$63, INT((ROW(A219)-1)/24) + 1, MOD(ROW(A219)-1, 24) + 1)</f>
        <v>25820</v>
      </c>
    </row>
    <row r="229" spans="27:32" x14ac:dyDescent="0.2">
      <c r="AA229" s="5" t="s">
        <v>12</v>
      </c>
      <c r="AB229" s="5" t="s">
        <v>257</v>
      </c>
      <c r="AC229" s="7" t="str" cm="1">
        <f t="array" ref="AC229">INDEX($B$10:$Y$25, INT((ROW(A220)-1)/24) + 1, MOD(ROW(A220)-1, 24) + 1)</f>
        <v>Cy.003</v>
      </c>
      <c r="AD229" s="5">
        <v>1</v>
      </c>
      <c r="AE229" s="5" cm="1">
        <f t="array" ref="AE229">INDEX($B$29:$Y$44, INT((ROW(A220)-1)/24) + 1, MOD(ROW(A220)-1, 24) + 1)</f>
        <v>2.0740740740740737E-2</v>
      </c>
      <c r="AF229" s="5" cm="1">
        <f t="array" ref="AF229">INDEX($B$48:$Y$63, INT((ROW(A220)-1)/24) + 1, MOD(ROW(A220)-1, 24) + 1)</f>
        <v>27340</v>
      </c>
    </row>
    <row r="230" spans="27:32" x14ac:dyDescent="0.2">
      <c r="AA230" s="5" t="s">
        <v>12</v>
      </c>
      <c r="AB230" s="5" t="s">
        <v>258</v>
      </c>
      <c r="AC230" s="7" t="str" cm="1">
        <f t="array" ref="AC230">INDEX($B$10:$Y$25, INT((ROW(A221)-1)/24) + 1, MOD(ROW(A221)-1, 24) + 1)</f>
        <v>Cy.003</v>
      </c>
      <c r="AD230" s="5">
        <v>1</v>
      </c>
      <c r="AE230" s="5" cm="1">
        <f t="array" ref="AE230">INDEX($B$29:$Y$44, INT((ROW(A221)-1)/24) + 1, MOD(ROW(A221)-1, 24) + 1)</f>
        <v>6.9135802469135789E-3</v>
      </c>
      <c r="AF230" s="5" cm="1">
        <f t="array" ref="AF230">INDEX($B$48:$Y$63, INT((ROW(A221)-1)/24) + 1, MOD(ROW(A221)-1, 24) + 1)</f>
        <v>54235</v>
      </c>
    </row>
    <row r="231" spans="27:32" x14ac:dyDescent="0.2">
      <c r="AA231" s="5" t="s">
        <v>12</v>
      </c>
      <c r="AB231" s="5" t="s">
        <v>259</v>
      </c>
      <c r="AC231" s="7" t="str" cm="1">
        <f t="array" ref="AC231">INDEX($B$10:$Y$25, INT((ROW(A222)-1)/24) + 1, MOD(ROW(A222)-1, 24) + 1)</f>
        <v>Cy.003</v>
      </c>
      <c r="AD231" s="5">
        <v>1</v>
      </c>
      <c r="AE231" s="5" cm="1">
        <f t="array" ref="AE231">INDEX($B$29:$Y$44, INT((ROW(A222)-1)/24) + 1, MOD(ROW(A222)-1, 24) + 1)</f>
        <v>2.3045267489711931E-3</v>
      </c>
      <c r="AF231" s="5" cm="1">
        <f t="array" ref="AF231">INDEX($B$48:$Y$63, INT((ROW(A222)-1)/24) + 1, MOD(ROW(A222)-1, 24) + 1)</f>
        <v>80300</v>
      </c>
    </row>
    <row r="232" spans="27:32" x14ac:dyDescent="0.2">
      <c r="AA232" s="5" t="s">
        <v>12</v>
      </c>
      <c r="AB232" s="5" t="s">
        <v>260</v>
      </c>
      <c r="AC232" s="7" t="str" cm="1">
        <f t="array" ref="AC232">INDEX($B$10:$Y$25, INT((ROW(A223)-1)/24) + 1, MOD(ROW(A223)-1, 24) + 1)</f>
        <v>Cy.003</v>
      </c>
      <c r="AD232" s="5">
        <v>1</v>
      </c>
      <c r="AE232" s="5" cm="1">
        <f t="array" ref="AE232">INDEX($B$29:$Y$44, INT((ROW(A223)-1)/24) + 1, MOD(ROW(A223)-1, 24) + 1)</f>
        <v>7.6817558299039767E-4</v>
      </c>
      <c r="AF232" s="5" cm="1">
        <f t="array" ref="AF232">INDEX($B$48:$Y$63, INT((ROW(A223)-1)/24) + 1, MOD(ROW(A223)-1, 24) + 1)</f>
        <v>97505</v>
      </c>
    </row>
    <row r="233" spans="27:32" x14ac:dyDescent="0.2">
      <c r="AA233" s="5" t="s">
        <v>12</v>
      </c>
      <c r="AB233" s="5" t="s">
        <v>261</v>
      </c>
      <c r="AC233" s="7" t="str" cm="1">
        <f t="array" ref="AC233">INDEX($B$10:$Y$25, INT((ROW(A224)-1)/24) + 1, MOD(ROW(A224)-1, 24) + 1)</f>
        <v>Cy.003</v>
      </c>
      <c r="AD233" s="5">
        <v>1</v>
      </c>
      <c r="AE233" s="5" cm="1">
        <f t="array" ref="AE233">INDEX($B$29:$Y$44, INT((ROW(A224)-1)/24) + 1, MOD(ROW(A224)-1, 24) + 1)</f>
        <v>2.5605852766346591E-4</v>
      </c>
      <c r="AF233" s="5" cm="1">
        <f t="array" ref="AF233">INDEX($B$48:$Y$63, INT((ROW(A224)-1)/24) + 1, MOD(ROW(A224)-1, 24) + 1)</f>
        <v>111175</v>
      </c>
    </row>
    <row r="234" spans="27:32" x14ac:dyDescent="0.2">
      <c r="AA234" s="5" t="s">
        <v>12</v>
      </c>
      <c r="AB234" s="5" t="s">
        <v>262</v>
      </c>
      <c r="AC234" s="7" t="str" cm="1">
        <f t="array" ref="AC234">INDEX($B$10:$Y$25, INT((ROW(A225)-1)/24) + 1, MOD(ROW(A225)-1, 24) + 1)</f>
        <v>Cy.003</v>
      </c>
      <c r="AD234" s="5">
        <v>1</v>
      </c>
      <c r="AE234" s="5" cm="1">
        <f t="array" ref="AE234">INDEX($B$29:$Y$44, INT((ROW(A225)-1)/24) + 1, MOD(ROW(A225)-1, 24) + 1)</f>
        <v>8.535284255448864E-5</v>
      </c>
      <c r="AF234" s="5" cm="1">
        <f t="array" ref="AF234">INDEX($B$48:$Y$63, INT((ROW(A225)-1)/24) + 1, MOD(ROW(A225)-1, 24) + 1)</f>
        <v>136020</v>
      </c>
    </row>
    <row r="235" spans="27:32" x14ac:dyDescent="0.2">
      <c r="AA235" s="5" t="s">
        <v>12</v>
      </c>
      <c r="AB235" s="5" t="s">
        <v>263</v>
      </c>
      <c r="AC235" s="7" t="str" cm="1">
        <f t="array" ref="AC235">INDEX($B$10:$Y$25, INT((ROW(A226)-1)/24) + 1, MOD(ROW(A226)-1, 24) + 1)</f>
        <v>Cy.003</v>
      </c>
      <c r="AD235" s="5">
        <v>1</v>
      </c>
      <c r="AE235" s="5" cm="1">
        <f t="array" ref="AE235">INDEX($B$29:$Y$44, INT((ROW(A226)-1)/24) + 1, MOD(ROW(A226)-1, 24) + 1)</f>
        <v>2.8450947518162879E-5</v>
      </c>
      <c r="AF235" s="5" cm="1">
        <f t="array" ref="AF235">INDEX($B$48:$Y$63, INT((ROW(A226)-1)/24) + 1, MOD(ROW(A226)-1, 24) + 1)</f>
        <v>140840</v>
      </c>
    </row>
    <row r="236" spans="27:32" x14ac:dyDescent="0.2">
      <c r="AA236" s="5" t="s">
        <v>12</v>
      </c>
      <c r="AB236" s="5" t="s">
        <v>264</v>
      </c>
      <c r="AC236" s="7" t="str" cm="1">
        <f t="array" ref="AC236">INDEX($B$10:$Y$25, INT((ROW(A227)-1)/24) + 1, MOD(ROW(A227)-1, 24) + 1)</f>
        <v>Cy.003</v>
      </c>
      <c r="AD236" s="5">
        <v>1</v>
      </c>
      <c r="AE236" s="5" cm="1">
        <f t="array" ref="AE236">INDEX($B$29:$Y$44, INT((ROW(A227)-1)/24) + 1, MOD(ROW(A227)-1, 24) + 1)</f>
        <v>9.4836491727209591E-6</v>
      </c>
      <c r="AF236" s="5" cm="1">
        <f t="array" ref="AF236">INDEX($B$48:$Y$63, INT((ROW(A227)-1)/24) + 1, MOD(ROW(A227)-1, 24) + 1)</f>
        <v>136670</v>
      </c>
    </row>
    <row r="237" spans="27:32" x14ac:dyDescent="0.2">
      <c r="AA237" s="5" t="s">
        <v>12</v>
      </c>
      <c r="AB237" s="5" t="s">
        <v>265</v>
      </c>
      <c r="AC237" s="7"/>
      <c r="AD237" s="5"/>
      <c r="AE237" s="5" cm="1">
        <f t="array" ref="AE237">INDEX($B$29:$Y$44, INT((ROW(A228)-1)/24) + 1, MOD(ROW(A228)-1, 24) + 1)</f>
        <v>0</v>
      </c>
      <c r="AF237" s="5" cm="1">
        <f t="array" ref="AF237">INDEX($B$48:$Y$63, INT((ROW(A228)-1)/24) + 1, MOD(ROW(A228)-1, 24) + 1)</f>
        <v>810</v>
      </c>
    </row>
    <row r="238" spans="27:32" x14ac:dyDescent="0.2">
      <c r="AA238" s="5" t="s">
        <v>12</v>
      </c>
      <c r="AB238" s="5" t="s">
        <v>266</v>
      </c>
      <c r="AC238" s="7" t="str" cm="1">
        <f t="array" ref="AC238">INDEX($B$10:$Y$25, INT((ROW(A229)-1)/24) + 1, MOD(ROW(A229)-1, 24) + 1)</f>
        <v>B8</v>
      </c>
      <c r="AD238" s="5">
        <v>1</v>
      </c>
      <c r="AE238" s="5" cm="1">
        <f t="array" ref="AE238">INDEX($B$29:$Y$44, INT((ROW(A229)-1)/24) + 1, MOD(ROW(A229)-1, 24) + 1)</f>
        <v>1</v>
      </c>
      <c r="AF238" s="5" cm="1">
        <f t="array" ref="AF238">INDEX($B$48:$Y$63, INT((ROW(A229)-1)/24) + 1, MOD(ROW(A229)-1, 24) + 1)</f>
        <v>7440</v>
      </c>
    </row>
    <row r="239" spans="27:32" x14ac:dyDescent="0.2">
      <c r="AA239" s="5" t="s">
        <v>12</v>
      </c>
      <c r="AB239" s="5" t="s">
        <v>267</v>
      </c>
      <c r="AC239" s="7" t="str" cm="1">
        <f t="array" ref="AC239">INDEX($B$10:$Y$25, INT((ROW(A230)-1)/24) + 1, MOD(ROW(A230)-1, 24) + 1)</f>
        <v>B8</v>
      </c>
      <c r="AD239" s="5">
        <v>1</v>
      </c>
      <c r="AE239" s="5" cm="1">
        <f t="array" ref="AE239">INDEX($B$29:$Y$44, INT((ROW(A230)-1)/24) + 1, MOD(ROW(A230)-1, 24) + 1)</f>
        <v>0.33333333333333331</v>
      </c>
      <c r="AF239" s="5" cm="1">
        <f t="array" ref="AF239">INDEX($B$48:$Y$63, INT((ROW(A230)-1)/24) + 1, MOD(ROW(A230)-1, 24) + 1)</f>
        <v>33140</v>
      </c>
    </row>
    <row r="240" spans="27:32" x14ac:dyDescent="0.2">
      <c r="AA240" s="5" t="s">
        <v>12</v>
      </c>
      <c r="AB240" s="5" t="s">
        <v>268</v>
      </c>
      <c r="AC240" s="7" t="str" cm="1">
        <f t="array" ref="AC240">INDEX($B$10:$Y$25, INT((ROW(A231)-1)/24) + 1, MOD(ROW(A231)-1, 24) + 1)</f>
        <v>B8</v>
      </c>
      <c r="AD240" s="5">
        <v>1</v>
      </c>
      <c r="AE240" s="5" cm="1">
        <f t="array" ref="AE240">INDEX($B$29:$Y$44, INT((ROW(A231)-1)/24) + 1, MOD(ROW(A231)-1, 24) + 1)</f>
        <v>0.1111111111111111</v>
      </c>
      <c r="AF240" s="5" cm="1">
        <f t="array" ref="AF240">INDEX($B$48:$Y$63, INT((ROW(A231)-1)/24) + 1, MOD(ROW(A231)-1, 24) + 1)</f>
        <v>49980</v>
      </c>
    </row>
    <row r="241" spans="27:32" x14ac:dyDescent="0.2">
      <c r="AA241" s="5" t="s">
        <v>12</v>
      </c>
      <c r="AB241" s="5" t="s">
        <v>269</v>
      </c>
      <c r="AC241" s="7" t="str" cm="1">
        <f t="array" ref="AC241">INDEX($B$10:$Y$25, INT((ROW(A232)-1)/24) + 1, MOD(ROW(A232)-1, 24) + 1)</f>
        <v>B8</v>
      </c>
      <c r="AD241" s="5">
        <v>1</v>
      </c>
      <c r="AE241" s="5" cm="1">
        <f t="array" ref="AE241">INDEX($B$29:$Y$44, INT((ROW(A232)-1)/24) + 1, MOD(ROW(A232)-1, 24) + 1)</f>
        <v>3.7037037037037035E-2</v>
      </c>
      <c r="AF241" s="5" cm="1">
        <f t="array" ref="AF241">INDEX($B$48:$Y$63, INT((ROW(A232)-1)/24) + 1, MOD(ROW(A232)-1, 24) + 1)</f>
        <v>72985</v>
      </c>
    </row>
    <row r="242" spans="27:32" x14ac:dyDescent="0.2">
      <c r="AA242" s="5" t="s">
        <v>12</v>
      </c>
      <c r="AB242" s="5" t="s">
        <v>270</v>
      </c>
      <c r="AC242" s="7" t="str" cm="1">
        <f t="array" ref="AC242">INDEX($B$10:$Y$25, INT((ROW(A233)-1)/24) + 1, MOD(ROW(A233)-1, 24) + 1)</f>
        <v>B8</v>
      </c>
      <c r="AD242" s="5">
        <v>1</v>
      </c>
      <c r="AE242" s="5" cm="1">
        <f t="array" ref="AE242">INDEX($B$29:$Y$44, INT((ROW(A233)-1)/24) + 1, MOD(ROW(A233)-1, 24) + 1)</f>
        <v>1.2345679012345678E-2</v>
      </c>
      <c r="AF242" s="5" cm="1">
        <f t="array" ref="AF242">INDEX($B$48:$Y$63, INT((ROW(A233)-1)/24) + 1, MOD(ROW(A233)-1, 24) + 1)</f>
        <v>96010</v>
      </c>
    </row>
    <row r="243" spans="27:32" x14ac:dyDescent="0.2">
      <c r="AA243" s="5" t="s">
        <v>12</v>
      </c>
      <c r="AB243" s="5" t="s">
        <v>271</v>
      </c>
      <c r="AC243" s="7" t="str" cm="1">
        <f t="array" ref="AC243">INDEX($B$10:$Y$25, INT((ROW(A234)-1)/24) + 1, MOD(ROW(A234)-1, 24) + 1)</f>
        <v>B8</v>
      </c>
      <c r="AD243" s="5">
        <v>1</v>
      </c>
      <c r="AE243" s="5" cm="1">
        <f t="array" ref="AE243">INDEX($B$29:$Y$44, INT((ROW(A234)-1)/24) + 1, MOD(ROW(A234)-1, 24) + 1)</f>
        <v>4.1152263374485592E-3</v>
      </c>
      <c r="AF243" s="5" cm="1">
        <f t="array" ref="AF243">INDEX($B$48:$Y$63, INT((ROW(A234)-1)/24) + 1, MOD(ROW(A234)-1, 24) + 1)</f>
        <v>112860</v>
      </c>
    </row>
    <row r="244" spans="27:32" x14ac:dyDescent="0.2">
      <c r="AA244" s="5" t="s">
        <v>12</v>
      </c>
      <c r="AB244" s="5" t="s">
        <v>272</v>
      </c>
      <c r="AC244" s="7" t="str" cm="1">
        <f t="array" ref="AC244">INDEX($B$10:$Y$25, INT((ROW(A235)-1)/24) + 1, MOD(ROW(A235)-1, 24) + 1)</f>
        <v>B8</v>
      </c>
      <c r="AD244" s="5">
        <v>1</v>
      </c>
      <c r="AE244" s="5" cm="1">
        <f t="array" ref="AE244">INDEX($B$29:$Y$44, INT((ROW(A235)-1)/24) + 1, MOD(ROW(A235)-1, 24) + 1)</f>
        <v>1.3717421124828531E-3</v>
      </c>
      <c r="AF244" s="5" cm="1">
        <f t="array" ref="AF244">INDEX($B$48:$Y$63, INT((ROW(A235)-1)/24) + 1, MOD(ROW(A235)-1, 24) + 1)</f>
        <v>127620</v>
      </c>
    </row>
    <row r="245" spans="27:32" x14ac:dyDescent="0.2">
      <c r="AA245" s="5" t="s">
        <v>12</v>
      </c>
      <c r="AB245" s="5" t="s">
        <v>273</v>
      </c>
      <c r="AC245" s="7" t="str" cm="1">
        <f t="array" ref="AC245">INDEX($B$10:$Y$25, INT((ROW(A236)-1)/24) + 1, MOD(ROW(A236)-1, 24) + 1)</f>
        <v>B8</v>
      </c>
      <c r="AD245" s="5">
        <v>1</v>
      </c>
      <c r="AE245" s="5" cm="1">
        <f t="array" ref="AE245">INDEX($B$29:$Y$44, INT((ROW(A236)-1)/24) + 1, MOD(ROW(A236)-1, 24) + 1)</f>
        <v>4.5724737082761773E-4</v>
      </c>
      <c r="AF245" s="5" cm="1">
        <f t="array" ref="AF245">INDEX($B$48:$Y$63, INT((ROW(A236)-1)/24) + 1, MOD(ROW(A236)-1, 24) + 1)</f>
        <v>136035</v>
      </c>
    </row>
    <row r="246" spans="27:32" x14ac:dyDescent="0.2">
      <c r="AA246" s="5" t="s">
        <v>12</v>
      </c>
      <c r="AB246" s="5" t="s">
        <v>274</v>
      </c>
      <c r="AC246" s="7" t="str" cm="1">
        <f t="array" ref="AC246">INDEX($B$10:$Y$25, INT((ROW(A237)-1)/24) + 1, MOD(ROW(A237)-1, 24) + 1)</f>
        <v>B8</v>
      </c>
      <c r="AD246" s="5">
        <v>1</v>
      </c>
      <c r="AE246" s="5" cm="1">
        <f t="array" ref="AE246">INDEX($B$29:$Y$44, INT((ROW(A237)-1)/24) + 1, MOD(ROW(A237)-1, 24) + 1)</f>
        <v>1.5241579027587258E-4</v>
      </c>
      <c r="AF246" s="5" cm="1">
        <f t="array" ref="AF246">INDEX($B$48:$Y$63, INT((ROW(A237)-1)/24) + 1, MOD(ROW(A237)-1, 24) + 1)</f>
        <v>143190</v>
      </c>
    </row>
    <row r="247" spans="27:32" x14ac:dyDescent="0.2">
      <c r="AA247" s="5" t="s">
        <v>12</v>
      </c>
      <c r="AB247" s="5" t="s">
        <v>275</v>
      </c>
      <c r="AC247" s="7" t="str" cm="1">
        <f t="array" ref="AC247">INDEX($B$10:$Y$25, INT((ROW(A238)-1)/24) + 1, MOD(ROW(A238)-1, 24) + 1)</f>
        <v>B8</v>
      </c>
      <c r="AD247" s="5">
        <v>1</v>
      </c>
      <c r="AE247" s="5" cm="1">
        <f t="array" ref="AE247">INDEX($B$29:$Y$44, INT((ROW(A238)-1)/24) + 1, MOD(ROW(A238)-1, 24) + 1)</f>
        <v>5.0805263425290864E-5</v>
      </c>
      <c r="AF247" s="5" cm="1">
        <f t="array" ref="AF247">INDEX($B$48:$Y$63, INT((ROW(A238)-1)/24) + 1, MOD(ROW(A238)-1, 24) + 1)</f>
        <v>149110</v>
      </c>
    </row>
    <row r="248" spans="27:32" x14ac:dyDescent="0.2">
      <c r="AA248" s="5" t="s">
        <v>12</v>
      </c>
      <c r="AB248" s="5" t="s">
        <v>276</v>
      </c>
      <c r="AC248" s="7" t="str" cm="1">
        <f t="array" ref="AC248">INDEX($B$10:$Y$25, INT((ROW(A239)-1)/24) + 1, MOD(ROW(A239)-1, 24) + 1)</f>
        <v>B8</v>
      </c>
      <c r="AD248" s="5">
        <v>1</v>
      </c>
      <c r="AE248" s="5" cm="1">
        <f t="array" ref="AE248">INDEX($B$29:$Y$44, INT((ROW(A239)-1)/24) + 1, MOD(ROW(A239)-1, 24) + 1)</f>
        <v>1.6935087808430289E-5</v>
      </c>
      <c r="AF248" s="5" cm="1">
        <f t="array" ref="AF248">INDEX($B$48:$Y$63, INT((ROW(A239)-1)/24) + 1, MOD(ROW(A239)-1, 24) + 1)</f>
        <v>138325</v>
      </c>
    </row>
    <row r="249" spans="27:32" x14ac:dyDescent="0.2">
      <c r="AA249" s="5" t="s">
        <v>12</v>
      </c>
      <c r="AB249" s="5" t="s">
        <v>277</v>
      </c>
      <c r="AC249" s="7"/>
      <c r="AD249" s="5"/>
      <c r="AE249" s="5" cm="1">
        <f t="array" ref="AE249">INDEX($B$29:$Y$44, INT((ROW(A240)-1)/24) + 1, MOD(ROW(A240)-1, 24) + 1)</f>
        <v>0</v>
      </c>
      <c r="AF249" s="5" cm="1">
        <f t="array" ref="AF249">INDEX($B$48:$Y$63, INT((ROW(A240)-1)/24) + 1, MOD(ROW(A240)-1, 24) + 1)</f>
        <v>825</v>
      </c>
    </row>
    <row r="250" spans="27:32" x14ac:dyDescent="0.2">
      <c r="AA250" s="5" t="s">
        <v>12</v>
      </c>
      <c r="AB250" s="5" t="s">
        <v>278</v>
      </c>
      <c r="AC250" s="7" t="str" cm="1">
        <f t="array" ref="AC250">INDEX($B$10:$Y$25, INT((ROW(A241)-1)/24) + 1, MOD(ROW(A241)-1, 24) + 1)</f>
        <v>R5.004</v>
      </c>
      <c r="AD250" s="5">
        <v>1</v>
      </c>
      <c r="AE250" s="5" cm="1">
        <f t="array" ref="AE250">INDEX($B$29:$Y$44, INT((ROW(A241)-1)/24) + 1, MOD(ROW(A241)-1, 24) + 1)</f>
        <v>0.6</v>
      </c>
      <c r="AF250" s="5" cm="1">
        <f t="array" ref="AF250">INDEX($B$48:$Y$63, INT((ROW(A241)-1)/24) + 1, MOD(ROW(A241)-1, 24) + 1)</f>
        <v>6140</v>
      </c>
    </row>
    <row r="251" spans="27:32" x14ac:dyDescent="0.2">
      <c r="AA251" s="5" t="s">
        <v>12</v>
      </c>
      <c r="AB251" s="5" t="s">
        <v>279</v>
      </c>
      <c r="AC251" s="7" t="str" cm="1">
        <f t="array" ref="AC251">INDEX($B$10:$Y$25, INT((ROW(A242)-1)/24) + 1, MOD(ROW(A242)-1, 24) + 1)</f>
        <v>R5.004</v>
      </c>
      <c r="AD251" s="5">
        <v>1</v>
      </c>
      <c r="AE251" s="5" cm="1">
        <f t="array" ref="AE251">INDEX($B$29:$Y$44, INT((ROW(A242)-1)/24) + 1, MOD(ROW(A242)-1, 24) + 1)</f>
        <v>0.19999999999999998</v>
      </c>
      <c r="AF251" s="5" cm="1">
        <f t="array" ref="AF251">INDEX($B$48:$Y$63, INT((ROW(A242)-1)/24) + 1, MOD(ROW(A242)-1, 24) + 1)</f>
        <v>6405</v>
      </c>
    </row>
    <row r="252" spans="27:32" x14ac:dyDescent="0.2">
      <c r="AA252" s="5" t="s">
        <v>12</v>
      </c>
      <c r="AB252" s="5" t="s">
        <v>280</v>
      </c>
      <c r="AC252" s="7" t="str" cm="1">
        <f t="array" ref="AC252">INDEX($B$10:$Y$25, INT((ROW(A243)-1)/24) + 1, MOD(ROW(A243)-1, 24) + 1)</f>
        <v>R5.004</v>
      </c>
      <c r="AD252" s="5">
        <v>1</v>
      </c>
      <c r="AE252" s="5" cm="1">
        <f t="array" ref="AE252">INDEX($B$29:$Y$44, INT((ROW(A243)-1)/24) + 1, MOD(ROW(A243)-1, 24) + 1)</f>
        <v>6.6666666666666666E-2</v>
      </c>
      <c r="AF252" s="5" cm="1">
        <f t="array" ref="AF252">INDEX($B$48:$Y$63, INT((ROW(A243)-1)/24) + 1, MOD(ROW(A243)-1, 24) + 1)</f>
        <v>18100</v>
      </c>
    </row>
    <row r="253" spans="27:32" x14ac:dyDescent="0.2">
      <c r="AA253" s="5" t="s">
        <v>12</v>
      </c>
      <c r="AB253" s="5" t="s">
        <v>281</v>
      </c>
      <c r="AC253" s="7" t="str" cm="1">
        <f t="array" ref="AC253">INDEX($B$10:$Y$25, INT((ROW(A244)-1)/24) + 1, MOD(ROW(A244)-1, 24) + 1)</f>
        <v>R5.004</v>
      </c>
      <c r="AD253" s="5">
        <v>1</v>
      </c>
      <c r="AE253" s="5" cm="1">
        <f t="array" ref="AE253">INDEX($B$29:$Y$44, INT((ROW(A244)-1)/24) + 1, MOD(ROW(A244)-1, 24) + 1)</f>
        <v>2.2222222222222223E-2</v>
      </c>
      <c r="AF253" s="5" cm="1">
        <f t="array" ref="AF253">INDEX($B$48:$Y$63, INT((ROW(A244)-1)/24) + 1, MOD(ROW(A244)-1, 24) + 1)</f>
        <v>36520</v>
      </c>
    </row>
    <row r="254" spans="27:32" x14ac:dyDescent="0.2">
      <c r="AA254" s="5" t="s">
        <v>12</v>
      </c>
      <c r="AB254" s="5" t="s">
        <v>282</v>
      </c>
      <c r="AC254" s="7" t="str" cm="1">
        <f t="array" ref="AC254">INDEX($B$10:$Y$25, INT((ROW(A245)-1)/24) + 1, MOD(ROW(A245)-1, 24) + 1)</f>
        <v>R5.004</v>
      </c>
      <c r="AD254" s="5">
        <v>1</v>
      </c>
      <c r="AE254" s="5" cm="1">
        <f t="array" ref="AE254">INDEX($B$29:$Y$44, INT((ROW(A245)-1)/24) + 1, MOD(ROW(A245)-1, 24) + 1)</f>
        <v>7.4074074074074077E-3</v>
      </c>
      <c r="AF254" s="5" cm="1">
        <f t="array" ref="AF254">INDEX($B$48:$Y$63, INT((ROW(A245)-1)/24) + 1, MOD(ROW(A245)-1, 24) + 1)</f>
        <v>62525</v>
      </c>
    </row>
    <row r="255" spans="27:32" x14ac:dyDescent="0.2">
      <c r="AA255" s="5" t="s">
        <v>12</v>
      </c>
      <c r="AB255" s="5" t="s">
        <v>283</v>
      </c>
      <c r="AC255" s="7" t="str" cm="1">
        <f t="array" ref="AC255">INDEX($B$10:$Y$25, INT((ROW(A246)-1)/24) + 1, MOD(ROW(A246)-1, 24) + 1)</f>
        <v>R5.004</v>
      </c>
      <c r="AD255" s="5">
        <v>1</v>
      </c>
      <c r="AE255" s="5" cm="1">
        <f t="array" ref="AE255">INDEX($B$29:$Y$44, INT((ROW(A246)-1)/24) + 1, MOD(ROW(A246)-1, 24) + 1)</f>
        <v>2.4691358024691358E-3</v>
      </c>
      <c r="AF255" s="5" cm="1">
        <f t="array" ref="AF255">INDEX($B$48:$Y$63, INT((ROW(A246)-1)/24) + 1, MOD(ROW(A246)-1, 24) + 1)</f>
        <v>78805</v>
      </c>
    </row>
    <row r="256" spans="27:32" x14ac:dyDescent="0.2">
      <c r="AA256" s="5" t="s">
        <v>12</v>
      </c>
      <c r="AB256" s="5" t="s">
        <v>284</v>
      </c>
      <c r="AC256" s="7" t="str" cm="1">
        <f t="array" ref="AC256">INDEX($B$10:$Y$25, INT((ROW(A247)-1)/24) + 1, MOD(ROW(A247)-1, 24) + 1)</f>
        <v>R5.004</v>
      </c>
      <c r="AD256" s="5">
        <v>1</v>
      </c>
      <c r="AE256" s="5" cm="1">
        <f t="array" ref="AE256">INDEX($B$29:$Y$44, INT((ROW(A247)-1)/24) + 1, MOD(ROW(A247)-1, 24) + 1)</f>
        <v>8.2304526748971192E-4</v>
      </c>
      <c r="AF256" s="5" cm="1">
        <f t="array" ref="AF256">INDEX($B$48:$Y$63, INT((ROW(A247)-1)/24) + 1, MOD(ROW(A247)-1, 24) + 1)</f>
        <v>110085</v>
      </c>
    </row>
    <row r="257" spans="27:32" x14ac:dyDescent="0.2">
      <c r="AA257" s="5" t="s">
        <v>12</v>
      </c>
      <c r="AB257" s="5" t="s">
        <v>285</v>
      </c>
      <c r="AC257" s="7" t="str" cm="1">
        <f t="array" ref="AC257">INDEX($B$10:$Y$25, INT((ROW(A248)-1)/24) + 1, MOD(ROW(A248)-1, 24) + 1)</f>
        <v>R5.004</v>
      </c>
      <c r="AD257" s="5">
        <v>1</v>
      </c>
      <c r="AE257" s="5" cm="1">
        <f t="array" ref="AE257">INDEX($B$29:$Y$44, INT((ROW(A248)-1)/24) + 1, MOD(ROW(A248)-1, 24) + 1)</f>
        <v>2.7434842249657066E-4</v>
      </c>
      <c r="AF257" s="5" cm="1">
        <f t="array" ref="AF257">INDEX($B$48:$Y$63, INT((ROW(A248)-1)/24) + 1, MOD(ROW(A248)-1, 24) + 1)</f>
        <v>141715</v>
      </c>
    </row>
    <row r="258" spans="27:32" x14ac:dyDescent="0.2">
      <c r="AA258" s="5" t="s">
        <v>12</v>
      </c>
      <c r="AB258" s="5" t="s">
        <v>286</v>
      </c>
      <c r="AC258" s="7" t="str" cm="1">
        <f t="array" ref="AC258">INDEX($B$10:$Y$25, INT((ROW(A249)-1)/24) + 1, MOD(ROW(A249)-1, 24) + 1)</f>
        <v>R5.004</v>
      </c>
      <c r="AD258" s="5">
        <v>1</v>
      </c>
      <c r="AE258" s="5" cm="1">
        <f t="array" ref="AE258">INDEX($B$29:$Y$44, INT((ROW(A249)-1)/24) + 1, MOD(ROW(A249)-1, 24) + 1)</f>
        <v>9.1449474165523548E-5</v>
      </c>
      <c r="AF258" s="5" cm="1">
        <f t="array" ref="AF258">INDEX($B$48:$Y$63, INT((ROW(A249)-1)/24) + 1, MOD(ROW(A249)-1, 24) + 1)</f>
        <v>140890</v>
      </c>
    </row>
    <row r="259" spans="27:32" x14ac:dyDescent="0.2">
      <c r="AA259" s="5" t="s">
        <v>12</v>
      </c>
      <c r="AB259" s="5" t="s">
        <v>287</v>
      </c>
      <c r="AC259" s="7" t="str" cm="1">
        <f t="array" ref="AC259">INDEX($B$10:$Y$25, INT((ROW(A250)-1)/24) + 1, MOD(ROW(A250)-1, 24) + 1)</f>
        <v>R5.004</v>
      </c>
      <c r="AD259" s="5">
        <v>1</v>
      </c>
      <c r="AE259" s="5" cm="1">
        <f t="array" ref="AE259">INDEX($B$29:$Y$44, INT((ROW(A250)-1)/24) + 1, MOD(ROW(A250)-1, 24) + 1)</f>
        <v>3.0483158055174515E-5</v>
      </c>
      <c r="AF259" s="5" cm="1">
        <f t="array" ref="AF259">INDEX($B$48:$Y$63, INT((ROW(A250)-1)/24) + 1, MOD(ROW(A250)-1, 24) + 1)</f>
        <v>142465</v>
      </c>
    </row>
    <row r="260" spans="27:32" x14ac:dyDescent="0.2">
      <c r="AA260" s="5" t="s">
        <v>12</v>
      </c>
      <c r="AB260" s="5" t="s">
        <v>288</v>
      </c>
      <c r="AC260" s="7" t="str" cm="1">
        <f t="array" ref="AC260">INDEX($B$10:$Y$25, INT((ROW(A251)-1)/24) + 1, MOD(ROW(A251)-1, 24) + 1)</f>
        <v>R5.004</v>
      </c>
      <c r="AD260" s="5">
        <v>1</v>
      </c>
      <c r="AE260" s="5" cm="1">
        <f t="array" ref="AE260">INDEX($B$29:$Y$44, INT((ROW(A251)-1)/24) + 1, MOD(ROW(A251)-1, 24) + 1)</f>
        <v>1.0161052685058171E-5</v>
      </c>
      <c r="AF260" s="5" cm="1">
        <f t="array" ref="AF260">INDEX($B$48:$Y$63, INT((ROW(A251)-1)/24) + 1, MOD(ROW(A251)-1, 24) + 1)</f>
        <v>134065</v>
      </c>
    </row>
    <row r="261" spans="27:32" x14ac:dyDescent="0.2">
      <c r="AA261" s="5" t="s">
        <v>12</v>
      </c>
      <c r="AB261" s="5" t="s">
        <v>289</v>
      </c>
      <c r="AC261" s="7"/>
      <c r="AD261" s="5"/>
      <c r="AE261" s="5" cm="1">
        <f t="array" ref="AE261">INDEX($B$29:$Y$44, INT((ROW(A252)-1)/24) + 1, MOD(ROW(A252)-1, 24) + 1)</f>
        <v>0</v>
      </c>
      <c r="AF261" s="5" cm="1">
        <f t="array" ref="AF261">INDEX($B$48:$Y$63, INT((ROW(A252)-1)/24) + 1, MOD(ROW(A252)-1, 24) + 1)</f>
        <v>745</v>
      </c>
    </row>
    <row r="262" spans="27:32" x14ac:dyDescent="0.2">
      <c r="AA262" s="5" t="s">
        <v>12</v>
      </c>
      <c r="AB262" s="5" t="s">
        <v>290</v>
      </c>
      <c r="AC262" s="7" t="str" cm="1">
        <f t="array" ref="AC262">INDEX($B$10:$Y$25, INT((ROW(A253)-1)/24) + 1, MOD(ROW(A253)-1, 24) + 1)</f>
        <v>B9</v>
      </c>
      <c r="AD262" s="5">
        <v>1</v>
      </c>
      <c r="AE262" s="5" cm="1">
        <f t="array" ref="AE262">INDEX($B$29:$Y$44, INT((ROW(A253)-1)/24) + 1, MOD(ROW(A253)-1, 24) + 1)</f>
        <v>0.2</v>
      </c>
      <c r="AF262" s="5" cm="1">
        <f t="array" ref="AF262">INDEX($B$48:$Y$63, INT((ROW(A253)-1)/24) + 1, MOD(ROW(A253)-1, 24) + 1)</f>
        <v>715</v>
      </c>
    </row>
    <row r="263" spans="27:32" x14ac:dyDescent="0.2">
      <c r="AA263" s="5" t="s">
        <v>12</v>
      </c>
      <c r="AB263" s="5" t="s">
        <v>291</v>
      </c>
      <c r="AC263" s="7" t="str" cm="1">
        <f t="array" ref="AC263">INDEX($B$10:$Y$25, INT((ROW(A254)-1)/24) + 1, MOD(ROW(A254)-1, 24) + 1)</f>
        <v>B9</v>
      </c>
      <c r="AD263" s="5">
        <v>1</v>
      </c>
      <c r="AE263" s="5" cm="1">
        <f t="array" ref="AE263">INDEX($B$29:$Y$44, INT((ROW(A254)-1)/24) + 1, MOD(ROW(A254)-1, 24) + 1)</f>
        <v>6.6666666666666666E-2</v>
      </c>
      <c r="AF263" s="5" cm="1">
        <f t="array" ref="AF263">INDEX($B$48:$Y$63, INT((ROW(A254)-1)/24) + 1, MOD(ROW(A254)-1, 24) + 1)</f>
        <v>5000</v>
      </c>
    </row>
    <row r="264" spans="27:32" x14ac:dyDescent="0.2">
      <c r="AA264" s="5" t="s">
        <v>12</v>
      </c>
      <c r="AB264" s="5" t="s">
        <v>292</v>
      </c>
      <c r="AC264" s="7" t="str" cm="1">
        <f t="array" ref="AC264">INDEX($B$10:$Y$25, INT((ROW(A255)-1)/24) + 1, MOD(ROW(A255)-1, 24) + 1)</f>
        <v>B9</v>
      </c>
      <c r="AD264" s="5">
        <v>1</v>
      </c>
      <c r="AE264" s="5" cm="1">
        <f t="array" ref="AE264">INDEX($B$29:$Y$44, INT((ROW(A255)-1)/24) + 1, MOD(ROW(A255)-1, 24) + 1)</f>
        <v>2.2222222222222223E-2</v>
      </c>
      <c r="AF264" s="5" cm="1">
        <f t="array" ref="AF264">INDEX($B$48:$Y$63, INT((ROW(A255)-1)/24) + 1, MOD(ROW(A255)-1, 24) + 1)</f>
        <v>19180</v>
      </c>
    </row>
    <row r="265" spans="27:32" x14ac:dyDescent="0.2">
      <c r="AA265" s="5" t="s">
        <v>12</v>
      </c>
      <c r="AB265" s="5" t="s">
        <v>293</v>
      </c>
      <c r="AC265" s="7" t="str" cm="1">
        <f t="array" ref="AC265">INDEX($B$10:$Y$25, INT((ROW(A256)-1)/24) + 1, MOD(ROW(A256)-1, 24) + 1)</f>
        <v>B9</v>
      </c>
      <c r="AD265" s="5">
        <v>1</v>
      </c>
      <c r="AE265" s="5" cm="1">
        <f t="array" ref="AE265">INDEX($B$29:$Y$44, INT((ROW(A256)-1)/24) + 1, MOD(ROW(A256)-1, 24) + 1)</f>
        <v>7.4074074074074077E-3</v>
      </c>
      <c r="AF265" s="5" cm="1">
        <f t="array" ref="AF265">INDEX($B$48:$Y$63, INT((ROW(A256)-1)/24) + 1, MOD(ROW(A256)-1, 24) + 1)</f>
        <v>63790</v>
      </c>
    </row>
    <row r="266" spans="27:32" x14ac:dyDescent="0.2">
      <c r="AA266" s="5" t="s">
        <v>12</v>
      </c>
      <c r="AB266" s="5" t="s">
        <v>294</v>
      </c>
      <c r="AC266" s="7" t="str" cm="1">
        <f t="array" ref="AC266">INDEX($B$10:$Y$25, INT((ROW(A257)-1)/24) + 1, MOD(ROW(A257)-1, 24) + 1)</f>
        <v>B9</v>
      </c>
      <c r="AD266" s="5">
        <v>1</v>
      </c>
      <c r="AE266" s="5" cm="1">
        <f t="array" ref="AE266">INDEX($B$29:$Y$44, INT((ROW(A257)-1)/24) + 1, MOD(ROW(A257)-1, 24) + 1)</f>
        <v>2.4691358024691358E-3</v>
      </c>
      <c r="AF266" s="5" cm="1">
        <f t="array" ref="AF266">INDEX($B$48:$Y$63, INT((ROW(A257)-1)/24) + 1, MOD(ROW(A257)-1, 24) + 1)</f>
        <v>98105</v>
      </c>
    </row>
    <row r="267" spans="27:32" x14ac:dyDescent="0.2">
      <c r="AA267" s="5" t="s">
        <v>12</v>
      </c>
      <c r="AB267" s="5" t="s">
        <v>295</v>
      </c>
      <c r="AC267" s="7" t="str" cm="1">
        <f t="array" ref="AC267">INDEX($B$10:$Y$25, INT((ROW(A258)-1)/24) + 1, MOD(ROW(A258)-1, 24) + 1)</f>
        <v>B9</v>
      </c>
      <c r="AD267" s="5">
        <v>1</v>
      </c>
      <c r="AE267" s="5" cm="1">
        <f t="array" ref="AE267">INDEX($B$29:$Y$44, INT((ROW(A258)-1)/24) + 1, MOD(ROW(A258)-1, 24) + 1)</f>
        <v>8.2304526748971192E-4</v>
      </c>
      <c r="AF267" s="5" cm="1">
        <f t="array" ref="AF267">INDEX($B$48:$Y$63, INT((ROW(A258)-1)/24) + 1, MOD(ROW(A258)-1, 24) + 1)</f>
        <v>119155</v>
      </c>
    </row>
    <row r="268" spans="27:32" x14ac:dyDescent="0.2">
      <c r="AA268" s="5" t="s">
        <v>12</v>
      </c>
      <c r="AB268" s="5" t="s">
        <v>296</v>
      </c>
      <c r="AC268" s="7" t="str" cm="1">
        <f t="array" ref="AC268">INDEX($B$10:$Y$25, INT((ROW(A259)-1)/24) + 1, MOD(ROW(A259)-1, 24) + 1)</f>
        <v>B9</v>
      </c>
      <c r="AD268" s="5">
        <v>1</v>
      </c>
      <c r="AE268" s="5" cm="1">
        <f t="array" ref="AE268">INDEX($B$29:$Y$44, INT((ROW(A259)-1)/24) + 1, MOD(ROW(A259)-1, 24) + 1)</f>
        <v>2.7434842249657066E-4</v>
      </c>
      <c r="AF268" s="5" cm="1">
        <f t="array" ref="AF268">INDEX($B$48:$Y$63, INT((ROW(A259)-1)/24) + 1, MOD(ROW(A259)-1, 24) + 1)</f>
        <v>125185</v>
      </c>
    </row>
    <row r="269" spans="27:32" x14ac:dyDescent="0.2">
      <c r="AA269" s="5" t="s">
        <v>12</v>
      </c>
      <c r="AB269" s="5" t="s">
        <v>297</v>
      </c>
      <c r="AC269" s="7" t="str" cm="1">
        <f t="array" ref="AC269">INDEX($B$10:$Y$25, INT((ROW(A260)-1)/24) + 1, MOD(ROW(A260)-1, 24) + 1)</f>
        <v>B9</v>
      </c>
      <c r="AD269" s="5">
        <v>1</v>
      </c>
      <c r="AE269" s="5" cm="1">
        <f t="array" ref="AE269">INDEX($B$29:$Y$44, INT((ROW(A260)-1)/24) + 1, MOD(ROW(A260)-1, 24) + 1)</f>
        <v>9.1449474165523548E-5</v>
      </c>
      <c r="AF269" s="5" cm="1">
        <f t="array" ref="AF269">INDEX($B$48:$Y$63, INT((ROW(A260)-1)/24) + 1, MOD(ROW(A260)-1, 24) + 1)</f>
        <v>123805</v>
      </c>
    </row>
    <row r="270" spans="27:32" x14ac:dyDescent="0.2">
      <c r="AA270" s="5" t="s">
        <v>12</v>
      </c>
      <c r="AB270" s="5" t="s">
        <v>298</v>
      </c>
      <c r="AC270" s="7" t="str" cm="1">
        <f t="array" ref="AC270">INDEX($B$10:$Y$25, INT((ROW(A261)-1)/24) + 1, MOD(ROW(A261)-1, 24) + 1)</f>
        <v>B9</v>
      </c>
      <c r="AD270" s="5">
        <v>1</v>
      </c>
      <c r="AE270" s="5" cm="1">
        <f t="array" ref="AE270">INDEX($B$29:$Y$44, INT((ROW(A261)-1)/24) + 1, MOD(ROW(A261)-1, 24) + 1)</f>
        <v>3.0483158055174515E-5</v>
      </c>
      <c r="AF270" s="5" cm="1">
        <f t="array" ref="AF270">INDEX($B$48:$Y$63, INT((ROW(A261)-1)/24) + 1, MOD(ROW(A261)-1, 24) + 1)</f>
        <v>147060</v>
      </c>
    </row>
    <row r="271" spans="27:32" x14ac:dyDescent="0.2">
      <c r="AA271" s="5" t="s">
        <v>12</v>
      </c>
      <c r="AB271" s="5" t="s">
        <v>299</v>
      </c>
      <c r="AC271" s="7" t="str" cm="1">
        <f t="array" ref="AC271">INDEX($B$10:$Y$25, INT((ROW(A262)-1)/24) + 1, MOD(ROW(A262)-1, 24) + 1)</f>
        <v>B9</v>
      </c>
      <c r="AD271" s="5">
        <v>1</v>
      </c>
      <c r="AE271" s="5" cm="1">
        <f t="array" ref="AE271">INDEX($B$29:$Y$44, INT((ROW(A262)-1)/24) + 1, MOD(ROW(A262)-1, 24) + 1)</f>
        <v>1.0161052685058171E-5</v>
      </c>
      <c r="AF271" s="5" cm="1">
        <f t="array" ref="AF271">INDEX($B$48:$Y$63, INT((ROW(A262)-1)/24) + 1, MOD(ROW(A262)-1, 24) + 1)</f>
        <v>128175</v>
      </c>
    </row>
    <row r="272" spans="27:32" x14ac:dyDescent="0.2">
      <c r="AA272" s="5" t="s">
        <v>12</v>
      </c>
      <c r="AB272" s="5" t="s">
        <v>300</v>
      </c>
      <c r="AC272" s="7" t="str" cm="1">
        <f t="array" ref="AC272">INDEX($B$10:$Y$25, INT((ROW(A263)-1)/24) + 1, MOD(ROW(A263)-1, 24) + 1)</f>
        <v>B9</v>
      </c>
      <c r="AD272" s="5">
        <v>1</v>
      </c>
      <c r="AE272" s="5" cm="1">
        <f t="array" ref="AE272">INDEX($B$29:$Y$44, INT((ROW(A263)-1)/24) + 1, MOD(ROW(A263)-1, 24) + 1)</f>
        <v>3.3870175616860569E-6</v>
      </c>
      <c r="AF272" s="5" cm="1">
        <f t="array" ref="AF272">INDEX($B$48:$Y$63, INT((ROW(A263)-1)/24) + 1, MOD(ROW(A263)-1, 24) + 1)</f>
        <v>132415</v>
      </c>
    </row>
    <row r="273" spans="27:32" x14ac:dyDescent="0.2">
      <c r="AA273" s="5" t="s">
        <v>12</v>
      </c>
      <c r="AB273" s="5" t="s">
        <v>301</v>
      </c>
      <c r="AC273" s="7"/>
      <c r="AD273" s="5"/>
      <c r="AE273" s="5" cm="1">
        <f t="array" ref="AE273">INDEX($B$29:$Y$44, INT((ROW(A264)-1)/24) + 1, MOD(ROW(A264)-1, 24) + 1)</f>
        <v>0</v>
      </c>
      <c r="AF273" s="5" cm="1">
        <f t="array" ref="AF273">INDEX($B$48:$Y$63, INT((ROW(A264)-1)/24) + 1, MOD(ROW(A264)-1, 24) + 1)</f>
        <v>650</v>
      </c>
    </row>
    <row r="274" spans="27:32" x14ac:dyDescent="0.2">
      <c r="AA274" s="5" t="s">
        <v>12</v>
      </c>
      <c r="AB274" s="5" t="s">
        <v>302</v>
      </c>
      <c r="AC274" s="7" t="str" cm="1">
        <f t="array" ref="AC274">INDEX($B$10:$Y$25, INT((ROW(A265)-1)/24) + 1, MOD(ROW(A265)-1, 24) + 1)</f>
        <v>R5.004</v>
      </c>
      <c r="AD274" s="5">
        <v>1</v>
      </c>
      <c r="AE274" s="5" cm="1">
        <f t="array" ref="AE274">INDEX($B$29:$Y$44, INT((ROW(A265)-1)/24) + 1, MOD(ROW(A265)-1, 24) + 1)</f>
        <v>0.6</v>
      </c>
      <c r="AF274" s="5" cm="1">
        <f t="array" ref="AF274">INDEX($B$48:$Y$63, INT((ROW(A265)-1)/24) + 1, MOD(ROW(A265)-1, 24) + 1)</f>
        <v>4010</v>
      </c>
    </row>
    <row r="275" spans="27:32" x14ac:dyDescent="0.2">
      <c r="AA275" s="5" t="s">
        <v>12</v>
      </c>
      <c r="AB275" s="5" t="s">
        <v>303</v>
      </c>
      <c r="AC275" s="7" t="str" cm="1">
        <f t="array" ref="AC275">INDEX($B$10:$Y$25, INT((ROW(A266)-1)/24) + 1, MOD(ROW(A266)-1, 24) + 1)</f>
        <v>R5.004</v>
      </c>
      <c r="AD275" s="5">
        <v>1</v>
      </c>
      <c r="AE275" s="5" cm="1">
        <f t="array" ref="AE275">INDEX($B$29:$Y$44, INT((ROW(A266)-1)/24) + 1, MOD(ROW(A266)-1, 24) + 1)</f>
        <v>0.19999999999999998</v>
      </c>
      <c r="AF275" s="5" cm="1">
        <f t="array" ref="AF275">INDEX($B$48:$Y$63, INT((ROW(A266)-1)/24) + 1, MOD(ROW(A266)-1, 24) + 1)</f>
        <v>12260</v>
      </c>
    </row>
    <row r="276" spans="27:32" x14ac:dyDescent="0.2">
      <c r="AA276" s="5" t="s">
        <v>12</v>
      </c>
      <c r="AB276" s="5" t="s">
        <v>304</v>
      </c>
      <c r="AC276" s="7" t="str" cm="1">
        <f t="array" ref="AC276">INDEX($B$10:$Y$25, INT((ROW(A267)-1)/24) + 1, MOD(ROW(A267)-1, 24) + 1)</f>
        <v>R5.004</v>
      </c>
      <c r="AD276" s="5">
        <v>1</v>
      </c>
      <c r="AE276" s="5" cm="1">
        <f t="array" ref="AE276">INDEX($B$29:$Y$44, INT((ROW(A267)-1)/24) + 1, MOD(ROW(A267)-1, 24) + 1)</f>
        <v>6.6666666666666666E-2</v>
      </c>
      <c r="AF276" s="5" cm="1">
        <f t="array" ref="AF276">INDEX($B$48:$Y$63, INT((ROW(A267)-1)/24) + 1, MOD(ROW(A267)-1, 24) + 1)</f>
        <v>23755</v>
      </c>
    </row>
    <row r="277" spans="27:32" x14ac:dyDescent="0.2">
      <c r="AA277" s="5" t="s">
        <v>12</v>
      </c>
      <c r="AB277" s="5" t="s">
        <v>305</v>
      </c>
      <c r="AC277" s="7" t="str" cm="1">
        <f t="array" ref="AC277">INDEX($B$10:$Y$25, INT((ROW(A268)-1)/24) + 1, MOD(ROW(A268)-1, 24) + 1)</f>
        <v>R5.004</v>
      </c>
      <c r="AD277" s="5">
        <v>1</v>
      </c>
      <c r="AE277" s="5" cm="1">
        <f t="array" ref="AE277">INDEX($B$29:$Y$44, INT((ROW(A268)-1)/24) + 1, MOD(ROW(A268)-1, 24) + 1)</f>
        <v>2.2222222222222223E-2</v>
      </c>
      <c r="AF277" s="5" cm="1">
        <f t="array" ref="AF277">INDEX($B$48:$Y$63, INT((ROW(A268)-1)/24) + 1, MOD(ROW(A268)-1, 24) + 1)</f>
        <v>44275</v>
      </c>
    </row>
    <row r="278" spans="27:32" x14ac:dyDescent="0.2">
      <c r="AA278" s="5" t="s">
        <v>12</v>
      </c>
      <c r="AB278" s="5" t="s">
        <v>306</v>
      </c>
      <c r="AC278" s="7" t="str" cm="1">
        <f t="array" ref="AC278">INDEX($B$10:$Y$25, INT((ROW(A269)-1)/24) + 1, MOD(ROW(A269)-1, 24) + 1)</f>
        <v>R5.004</v>
      </c>
      <c r="AD278" s="5">
        <v>1</v>
      </c>
      <c r="AE278" s="5" cm="1">
        <f t="array" ref="AE278">INDEX($B$29:$Y$44, INT((ROW(A269)-1)/24) + 1, MOD(ROW(A269)-1, 24) + 1)</f>
        <v>7.4074074074074077E-3</v>
      </c>
      <c r="AF278" s="5" cm="1">
        <f t="array" ref="AF278">INDEX($B$48:$Y$63, INT((ROW(A269)-1)/24) + 1, MOD(ROW(A269)-1, 24) + 1)</f>
        <v>66035</v>
      </c>
    </row>
    <row r="279" spans="27:32" x14ac:dyDescent="0.2">
      <c r="AA279" s="5" t="s">
        <v>12</v>
      </c>
      <c r="AB279" s="5" t="s">
        <v>307</v>
      </c>
      <c r="AC279" s="7" t="str" cm="1">
        <f t="array" ref="AC279">INDEX($B$10:$Y$25, INT((ROW(A270)-1)/24) + 1, MOD(ROW(A270)-1, 24) + 1)</f>
        <v>R5.004</v>
      </c>
      <c r="AD279" s="5">
        <v>1</v>
      </c>
      <c r="AE279" s="5" cm="1">
        <f t="array" ref="AE279">INDEX($B$29:$Y$44, INT((ROW(A270)-1)/24) + 1, MOD(ROW(A270)-1, 24) + 1)</f>
        <v>2.4691358024691358E-3</v>
      </c>
      <c r="AF279" s="5" cm="1">
        <f t="array" ref="AF279">INDEX($B$48:$Y$63, INT((ROW(A270)-1)/24) + 1, MOD(ROW(A270)-1, 24) + 1)</f>
        <v>89570</v>
      </c>
    </row>
    <row r="280" spans="27:32" x14ac:dyDescent="0.2">
      <c r="AA280" s="5" t="s">
        <v>12</v>
      </c>
      <c r="AB280" s="5" t="s">
        <v>308</v>
      </c>
      <c r="AC280" s="7" t="str" cm="1">
        <f t="array" ref="AC280">INDEX($B$10:$Y$25, INT((ROW(A271)-1)/24) + 1, MOD(ROW(A271)-1, 24) + 1)</f>
        <v>R5.004</v>
      </c>
      <c r="AD280" s="5">
        <v>1</v>
      </c>
      <c r="AE280" s="5" cm="1">
        <f t="array" ref="AE280">INDEX($B$29:$Y$44, INT((ROW(A271)-1)/24) + 1, MOD(ROW(A271)-1, 24) + 1)</f>
        <v>8.2304526748971192E-4</v>
      </c>
      <c r="AF280" s="5" cm="1">
        <f t="array" ref="AF280">INDEX($B$48:$Y$63, INT((ROW(A271)-1)/24) + 1, MOD(ROW(A271)-1, 24) + 1)</f>
        <v>111815</v>
      </c>
    </row>
    <row r="281" spans="27:32" x14ac:dyDescent="0.2">
      <c r="AA281" s="5" t="s">
        <v>12</v>
      </c>
      <c r="AB281" s="5" t="s">
        <v>309</v>
      </c>
      <c r="AC281" s="7" t="str" cm="1">
        <f t="array" ref="AC281">INDEX($B$10:$Y$25, INT((ROW(A272)-1)/24) + 1, MOD(ROW(A272)-1, 24) + 1)</f>
        <v>R5.004</v>
      </c>
      <c r="AD281" s="5">
        <v>1</v>
      </c>
      <c r="AE281" s="5" cm="1">
        <f t="array" ref="AE281">INDEX($B$29:$Y$44, INT((ROW(A272)-1)/24) + 1, MOD(ROW(A272)-1, 24) + 1)</f>
        <v>2.7434842249657066E-4</v>
      </c>
      <c r="AF281" s="5" cm="1">
        <f t="array" ref="AF281">INDEX($B$48:$Y$63, INT((ROW(A272)-1)/24) + 1, MOD(ROW(A272)-1, 24) + 1)</f>
        <v>138385</v>
      </c>
    </row>
    <row r="282" spans="27:32" x14ac:dyDescent="0.2">
      <c r="AA282" s="5" t="s">
        <v>12</v>
      </c>
      <c r="AB282" s="5" t="s">
        <v>310</v>
      </c>
      <c r="AC282" s="7" t="str" cm="1">
        <f t="array" ref="AC282">INDEX($B$10:$Y$25, INT((ROW(A273)-1)/24) + 1, MOD(ROW(A273)-1, 24) + 1)</f>
        <v>R5.004</v>
      </c>
      <c r="AD282" s="5">
        <v>1</v>
      </c>
      <c r="AE282" s="5" cm="1">
        <f t="array" ref="AE282">INDEX($B$29:$Y$44, INT((ROW(A273)-1)/24) + 1, MOD(ROW(A273)-1, 24) + 1)</f>
        <v>9.1449474165523548E-5</v>
      </c>
      <c r="AF282" s="5" cm="1">
        <f t="array" ref="AF282">INDEX($B$48:$Y$63, INT((ROW(A273)-1)/24) + 1, MOD(ROW(A273)-1, 24) + 1)</f>
        <v>133695</v>
      </c>
    </row>
    <row r="283" spans="27:32" x14ac:dyDescent="0.2">
      <c r="AA283" s="5" t="s">
        <v>12</v>
      </c>
      <c r="AB283" s="5" t="s">
        <v>311</v>
      </c>
      <c r="AC283" s="7" t="str" cm="1">
        <f t="array" ref="AC283">INDEX($B$10:$Y$25, INT((ROW(A274)-1)/24) + 1, MOD(ROW(A274)-1, 24) + 1)</f>
        <v>R5.004</v>
      </c>
      <c r="AD283" s="5">
        <v>1</v>
      </c>
      <c r="AE283" s="5" cm="1">
        <f t="array" ref="AE283">INDEX($B$29:$Y$44, INT((ROW(A274)-1)/24) + 1, MOD(ROW(A274)-1, 24) + 1)</f>
        <v>3.0483158055174515E-5</v>
      </c>
      <c r="AF283" s="5" cm="1">
        <f t="array" ref="AF283">INDEX($B$48:$Y$63, INT((ROW(A274)-1)/24) + 1, MOD(ROW(A274)-1, 24) + 1)</f>
        <v>143860</v>
      </c>
    </row>
    <row r="284" spans="27:32" x14ac:dyDescent="0.2">
      <c r="AA284" s="5" t="s">
        <v>12</v>
      </c>
      <c r="AB284" s="5" t="s">
        <v>312</v>
      </c>
      <c r="AC284" s="7" t="str" cm="1">
        <f t="array" ref="AC284">INDEX($B$10:$Y$25, INT((ROW(A275)-1)/24) + 1, MOD(ROW(A275)-1, 24) + 1)</f>
        <v>R5.004</v>
      </c>
      <c r="AD284" s="5">
        <v>1</v>
      </c>
      <c r="AE284" s="5" cm="1">
        <f t="array" ref="AE284">INDEX($B$29:$Y$44, INT((ROW(A275)-1)/24) + 1, MOD(ROW(A275)-1, 24) + 1)</f>
        <v>1.0161052685058171E-5</v>
      </c>
      <c r="AF284" s="5" cm="1">
        <f t="array" ref="AF284">INDEX($B$48:$Y$63, INT((ROW(A275)-1)/24) + 1, MOD(ROW(A275)-1, 24) + 1)</f>
        <v>142890</v>
      </c>
    </row>
    <row r="285" spans="27:32" x14ac:dyDescent="0.2">
      <c r="AA285" s="5" t="s">
        <v>12</v>
      </c>
      <c r="AB285" s="5" t="s">
        <v>313</v>
      </c>
      <c r="AC285" s="7"/>
      <c r="AD285" s="5"/>
      <c r="AE285" s="5" cm="1">
        <f t="array" ref="AE285">INDEX($B$29:$Y$44, INT((ROW(A276)-1)/24) + 1, MOD(ROW(A276)-1, 24) + 1)</f>
        <v>0</v>
      </c>
      <c r="AF285" s="5" cm="1">
        <f t="array" ref="AF285">INDEX($B$48:$Y$63, INT((ROW(A276)-1)/24) + 1, MOD(ROW(A276)-1, 24) + 1)</f>
        <v>830</v>
      </c>
    </row>
    <row r="286" spans="27:32" x14ac:dyDescent="0.2">
      <c r="AA286" s="5" t="s">
        <v>12</v>
      </c>
      <c r="AB286" s="5" t="s">
        <v>314</v>
      </c>
      <c r="AC286" s="7" t="str" cm="1">
        <f t="array" ref="AC286">INDEX($B$10:$Y$25, INT((ROW(A277)-1)/24) + 1, MOD(ROW(A277)-1, 24) + 1)</f>
        <v>B9</v>
      </c>
      <c r="AD286" s="5">
        <v>1</v>
      </c>
      <c r="AE286" s="5" cm="1">
        <f t="array" ref="AE286">INDEX($B$29:$Y$44, INT((ROW(A277)-1)/24) + 1, MOD(ROW(A277)-1, 24) + 1)</f>
        <v>0.2</v>
      </c>
      <c r="AF286" s="5" cm="1">
        <f t="array" ref="AF286">INDEX($B$48:$Y$63, INT((ROW(A277)-1)/24) + 1, MOD(ROW(A277)-1, 24) + 1)</f>
        <v>525</v>
      </c>
    </row>
    <row r="287" spans="27:32" x14ac:dyDescent="0.2">
      <c r="AA287" s="5" t="s">
        <v>12</v>
      </c>
      <c r="AB287" s="5" t="s">
        <v>315</v>
      </c>
      <c r="AC287" s="7" t="str" cm="1">
        <f t="array" ref="AC287">INDEX($B$10:$Y$25, INT((ROW(A278)-1)/24) + 1, MOD(ROW(A278)-1, 24) + 1)</f>
        <v>B9</v>
      </c>
      <c r="AD287" s="5">
        <v>1</v>
      </c>
      <c r="AE287" s="5" cm="1">
        <f t="array" ref="AE287">INDEX($B$29:$Y$44, INT((ROW(A278)-1)/24) + 1, MOD(ROW(A278)-1, 24) + 1)</f>
        <v>6.6666666666666666E-2</v>
      </c>
      <c r="AF287" s="5" cm="1">
        <f t="array" ref="AF287">INDEX($B$48:$Y$63, INT((ROW(A278)-1)/24) + 1, MOD(ROW(A278)-1, 24) + 1)</f>
        <v>10030</v>
      </c>
    </row>
    <row r="288" spans="27:32" x14ac:dyDescent="0.2">
      <c r="AA288" s="5" t="s">
        <v>12</v>
      </c>
      <c r="AB288" s="5" t="s">
        <v>316</v>
      </c>
      <c r="AC288" s="7" t="str" cm="1">
        <f t="array" ref="AC288">INDEX($B$10:$Y$25, INT((ROW(A279)-1)/24) + 1, MOD(ROW(A279)-1, 24) + 1)</f>
        <v>B9</v>
      </c>
      <c r="AD288" s="5">
        <v>1</v>
      </c>
      <c r="AE288" s="5" cm="1">
        <f t="array" ref="AE288">INDEX($B$29:$Y$44, INT((ROW(A279)-1)/24) + 1, MOD(ROW(A279)-1, 24) + 1)</f>
        <v>2.2222222222222223E-2</v>
      </c>
      <c r="AF288" s="5" cm="1">
        <f t="array" ref="AF288">INDEX($B$48:$Y$63, INT((ROW(A279)-1)/24) + 1, MOD(ROW(A279)-1, 24) + 1)</f>
        <v>24180</v>
      </c>
    </row>
    <row r="289" spans="27:32" x14ac:dyDescent="0.2">
      <c r="AA289" s="5" t="s">
        <v>12</v>
      </c>
      <c r="AB289" s="5" t="s">
        <v>317</v>
      </c>
      <c r="AC289" s="7" t="str" cm="1">
        <f t="array" ref="AC289">INDEX($B$10:$Y$25, INT((ROW(A280)-1)/24) + 1, MOD(ROW(A280)-1, 24) + 1)</f>
        <v>B9</v>
      </c>
      <c r="AD289" s="5">
        <v>1</v>
      </c>
      <c r="AE289" s="5" cm="1">
        <f t="array" ref="AE289">INDEX($B$29:$Y$44, INT((ROW(A280)-1)/24) + 1, MOD(ROW(A280)-1, 24) + 1)</f>
        <v>7.4074074074074077E-3</v>
      </c>
      <c r="AF289" s="5" cm="1">
        <f t="array" ref="AF289">INDEX($B$48:$Y$63, INT((ROW(A280)-1)/24) + 1, MOD(ROW(A280)-1, 24) + 1)</f>
        <v>42690</v>
      </c>
    </row>
    <row r="290" spans="27:32" x14ac:dyDescent="0.2">
      <c r="AA290" s="5" t="s">
        <v>12</v>
      </c>
      <c r="AB290" s="5" t="s">
        <v>318</v>
      </c>
      <c r="AC290" s="7" t="str" cm="1">
        <f t="array" ref="AC290">INDEX($B$10:$Y$25, INT((ROW(A281)-1)/24) + 1, MOD(ROW(A281)-1, 24) + 1)</f>
        <v>B9</v>
      </c>
      <c r="AD290" s="5">
        <v>1</v>
      </c>
      <c r="AE290" s="5" cm="1">
        <f t="array" ref="AE290">INDEX($B$29:$Y$44, INT((ROW(A281)-1)/24) + 1, MOD(ROW(A281)-1, 24) + 1)</f>
        <v>2.4691358024691358E-3</v>
      </c>
      <c r="AF290" s="5" cm="1">
        <f t="array" ref="AF290">INDEX($B$48:$Y$63, INT((ROW(A281)-1)/24) + 1, MOD(ROW(A281)-1, 24) + 1)</f>
        <v>73045</v>
      </c>
    </row>
    <row r="291" spans="27:32" x14ac:dyDescent="0.2">
      <c r="AA291" s="5" t="s">
        <v>12</v>
      </c>
      <c r="AB291" s="5" t="s">
        <v>319</v>
      </c>
      <c r="AC291" s="7" t="str" cm="1">
        <f t="array" ref="AC291">INDEX($B$10:$Y$25, INT((ROW(A282)-1)/24) + 1, MOD(ROW(A282)-1, 24) + 1)</f>
        <v>B9</v>
      </c>
      <c r="AD291" s="5">
        <v>1</v>
      </c>
      <c r="AE291" s="5" cm="1">
        <f t="array" ref="AE291">INDEX($B$29:$Y$44, INT((ROW(A282)-1)/24) + 1, MOD(ROW(A282)-1, 24) + 1)</f>
        <v>8.2304526748971192E-4</v>
      </c>
      <c r="AF291" s="5" cm="1">
        <f t="array" ref="AF291">INDEX($B$48:$Y$63, INT((ROW(A282)-1)/24) + 1, MOD(ROW(A282)-1, 24) + 1)</f>
        <v>109375</v>
      </c>
    </row>
    <row r="292" spans="27:32" x14ac:dyDescent="0.2">
      <c r="AA292" s="5" t="s">
        <v>12</v>
      </c>
      <c r="AB292" s="5" t="s">
        <v>320</v>
      </c>
      <c r="AC292" s="7" t="str" cm="1">
        <f t="array" ref="AC292">INDEX($B$10:$Y$25, INT((ROW(A283)-1)/24) + 1, MOD(ROW(A283)-1, 24) + 1)</f>
        <v>B9</v>
      </c>
      <c r="AD292" s="5">
        <v>1</v>
      </c>
      <c r="AE292" s="5" cm="1">
        <f t="array" ref="AE292">INDEX($B$29:$Y$44, INT((ROW(A283)-1)/24) + 1, MOD(ROW(A283)-1, 24) + 1)</f>
        <v>2.7434842249657066E-4</v>
      </c>
      <c r="AF292" s="5" cm="1">
        <f t="array" ref="AF292">INDEX($B$48:$Y$63, INT((ROW(A283)-1)/24) + 1, MOD(ROW(A283)-1, 24) + 1)</f>
        <v>116730</v>
      </c>
    </row>
    <row r="293" spans="27:32" x14ac:dyDescent="0.2">
      <c r="AA293" s="5" t="s">
        <v>12</v>
      </c>
      <c r="AB293" s="5" t="s">
        <v>321</v>
      </c>
      <c r="AC293" s="7" t="str" cm="1">
        <f t="array" ref="AC293">INDEX($B$10:$Y$25, INT((ROW(A284)-1)/24) + 1, MOD(ROW(A284)-1, 24) + 1)</f>
        <v>B9</v>
      </c>
      <c r="AD293" s="5">
        <v>1</v>
      </c>
      <c r="AE293" s="5" cm="1">
        <f t="array" ref="AE293">INDEX($B$29:$Y$44, INT((ROW(A284)-1)/24) + 1, MOD(ROW(A284)-1, 24) + 1)</f>
        <v>9.1449474165523548E-5</v>
      </c>
      <c r="AF293" s="5" cm="1">
        <f t="array" ref="AF293">INDEX($B$48:$Y$63, INT((ROW(A284)-1)/24) + 1, MOD(ROW(A284)-1, 24) + 1)</f>
        <v>130435</v>
      </c>
    </row>
    <row r="294" spans="27:32" x14ac:dyDescent="0.2">
      <c r="AA294" s="5" t="s">
        <v>12</v>
      </c>
      <c r="AB294" s="5" t="s">
        <v>322</v>
      </c>
      <c r="AC294" s="7" t="str" cm="1">
        <f t="array" ref="AC294">INDEX($B$10:$Y$25, INT((ROW(A285)-1)/24) + 1, MOD(ROW(A285)-1, 24) + 1)</f>
        <v>B9</v>
      </c>
      <c r="AD294" s="5">
        <v>1</v>
      </c>
      <c r="AE294" s="5" cm="1">
        <f t="array" ref="AE294">INDEX($B$29:$Y$44, INT((ROW(A285)-1)/24) + 1, MOD(ROW(A285)-1, 24) + 1)</f>
        <v>3.0483158055174515E-5</v>
      </c>
      <c r="AF294" s="5" cm="1">
        <f t="array" ref="AF294">INDEX($B$48:$Y$63, INT((ROW(A285)-1)/24) + 1, MOD(ROW(A285)-1, 24) + 1)</f>
        <v>141035</v>
      </c>
    </row>
    <row r="295" spans="27:32" x14ac:dyDescent="0.2">
      <c r="AA295" s="5" t="s">
        <v>12</v>
      </c>
      <c r="AB295" s="5" t="s">
        <v>323</v>
      </c>
      <c r="AC295" s="7" t="str" cm="1">
        <f t="array" ref="AC295">INDEX($B$10:$Y$25, INT((ROW(A286)-1)/24) + 1, MOD(ROW(A286)-1, 24) + 1)</f>
        <v>B9</v>
      </c>
      <c r="AD295" s="5">
        <v>1</v>
      </c>
      <c r="AE295" s="5" cm="1">
        <f t="array" ref="AE295">INDEX($B$29:$Y$44, INT((ROW(A286)-1)/24) + 1, MOD(ROW(A286)-1, 24) + 1)</f>
        <v>1.0161052685058171E-5</v>
      </c>
      <c r="AF295" s="5" cm="1">
        <f t="array" ref="AF295">INDEX($B$48:$Y$63, INT((ROW(A286)-1)/24) + 1, MOD(ROW(A286)-1, 24) + 1)</f>
        <v>141660</v>
      </c>
    </row>
    <row r="296" spans="27:32" x14ac:dyDescent="0.2">
      <c r="AA296" s="5" t="s">
        <v>12</v>
      </c>
      <c r="AB296" s="5" t="s">
        <v>324</v>
      </c>
      <c r="AC296" s="7" t="str" cm="1">
        <f t="array" ref="AC296">INDEX($B$10:$Y$25, INT((ROW(A287)-1)/24) + 1, MOD(ROW(A287)-1, 24) + 1)</f>
        <v>B9</v>
      </c>
      <c r="AD296" s="5">
        <v>1</v>
      </c>
      <c r="AE296" s="5" cm="1">
        <f t="array" ref="AE296">INDEX($B$29:$Y$44, INT((ROW(A287)-1)/24) + 1, MOD(ROW(A287)-1, 24) + 1)</f>
        <v>3.3870175616860569E-6</v>
      </c>
      <c r="AF296" s="5" cm="1">
        <f t="array" ref="AF296">INDEX($B$48:$Y$63, INT((ROW(A287)-1)/24) + 1, MOD(ROW(A287)-1, 24) + 1)</f>
        <v>130020</v>
      </c>
    </row>
    <row r="297" spans="27:32" x14ac:dyDescent="0.2">
      <c r="AA297" s="5" t="s">
        <v>12</v>
      </c>
      <c r="AB297" s="5" t="s">
        <v>325</v>
      </c>
      <c r="AC297" s="7"/>
      <c r="AD297" s="5"/>
      <c r="AE297" s="5" cm="1">
        <f t="array" ref="AE297">INDEX($B$29:$Y$44, INT((ROW(A288)-1)/24) + 1, MOD(ROW(A288)-1, 24) + 1)</f>
        <v>0</v>
      </c>
      <c r="AF297" s="5" cm="1">
        <f t="array" ref="AF297">INDEX($B$48:$Y$63, INT((ROW(A288)-1)/24) + 1, MOD(ROW(A288)-1, 24) + 1)</f>
        <v>710</v>
      </c>
    </row>
    <row r="298" spans="27:32" x14ac:dyDescent="0.2">
      <c r="AA298" s="5" t="s">
        <v>12</v>
      </c>
      <c r="AB298" s="5" t="s">
        <v>326</v>
      </c>
      <c r="AC298" s="7" t="str" cm="1">
        <f t="array" ref="AC298">INDEX($B$10:$Y$25, INT((ROW(A289)-1)/24) + 1, MOD(ROW(A289)-1, 24) + 1)</f>
        <v>A4</v>
      </c>
      <c r="AD298" s="5">
        <v>1</v>
      </c>
      <c r="AE298" s="5" cm="1">
        <f t="array" ref="AE298">INDEX($B$29:$Y$44, INT((ROW(A289)-1)/24) + 1, MOD(ROW(A289)-1, 24) + 1)</f>
        <v>0.06</v>
      </c>
      <c r="AF298" s="5" cm="1">
        <f t="array" ref="AF298">INDEX($B$48:$Y$63, INT((ROW(A289)-1)/24) + 1, MOD(ROW(A289)-1, 24) + 1)</f>
        <v>104365</v>
      </c>
    </row>
    <row r="299" spans="27:32" x14ac:dyDescent="0.2">
      <c r="AA299" s="5" t="s">
        <v>12</v>
      </c>
      <c r="AB299" s="5" t="s">
        <v>327</v>
      </c>
      <c r="AC299" s="7" t="str" cm="1">
        <f t="array" ref="AC299">INDEX($B$10:$Y$25, INT((ROW(A290)-1)/24) + 1, MOD(ROW(A290)-1, 24) + 1)</f>
        <v>A4</v>
      </c>
      <c r="AD299" s="5">
        <v>1</v>
      </c>
      <c r="AE299" s="5" cm="1">
        <f t="array" ref="AE299">INDEX($B$29:$Y$44, INT((ROW(A290)-1)/24) + 1, MOD(ROW(A290)-1, 24) + 1)</f>
        <v>0.02</v>
      </c>
      <c r="AF299" s="5" cm="1">
        <f t="array" ref="AF299">INDEX($B$48:$Y$63, INT((ROW(A290)-1)/24) + 1, MOD(ROW(A290)-1, 24) + 1)</f>
        <v>158125</v>
      </c>
    </row>
    <row r="300" spans="27:32" x14ac:dyDescent="0.2">
      <c r="AA300" s="5" t="s">
        <v>12</v>
      </c>
      <c r="AB300" s="5" t="s">
        <v>328</v>
      </c>
      <c r="AC300" s="7" t="str" cm="1">
        <f t="array" ref="AC300">INDEX($B$10:$Y$25, INT((ROW(A291)-1)/24) + 1, MOD(ROW(A291)-1, 24) + 1)</f>
        <v>A4</v>
      </c>
      <c r="AD300" s="5">
        <v>1</v>
      </c>
      <c r="AE300" s="5" cm="1">
        <f t="array" ref="AE300">INDEX($B$29:$Y$44, INT((ROW(A291)-1)/24) + 1, MOD(ROW(A291)-1, 24) + 1)</f>
        <v>6.6666666666666671E-3</v>
      </c>
      <c r="AF300" s="5" cm="1">
        <f t="array" ref="AF300">INDEX($B$48:$Y$63, INT((ROW(A291)-1)/24) + 1, MOD(ROW(A291)-1, 24) + 1)</f>
        <v>152125</v>
      </c>
    </row>
    <row r="301" spans="27:32" x14ac:dyDescent="0.2">
      <c r="AA301" s="5" t="s">
        <v>12</v>
      </c>
      <c r="AB301" s="5" t="s">
        <v>329</v>
      </c>
      <c r="AC301" s="7" t="str" cm="1">
        <f t="array" ref="AC301">INDEX($B$10:$Y$25, INT((ROW(A292)-1)/24) + 1, MOD(ROW(A292)-1, 24) + 1)</f>
        <v>A4</v>
      </c>
      <c r="AD301" s="5">
        <v>1</v>
      </c>
      <c r="AE301" s="5" cm="1">
        <f t="array" ref="AE301">INDEX($B$29:$Y$44, INT((ROW(A292)-1)/24) + 1, MOD(ROW(A292)-1, 24) + 1)</f>
        <v>2.2222222222222222E-3</v>
      </c>
      <c r="AF301" s="5" cm="1">
        <f t="array" ref="AF301">INDEX($B$48:$Y$63, INT((ROW(A292)-1)/24) + 1, MOD(ROW(A292)-1, 24) + 1)</f>
        <v>147440</v>
      </c>
    </row>
    <row r="302" spans="27:32" x14ac:dyDescent="0.2">
      <c r="AA302" s="5" t="s">
        <v>12</v>
      </c>
      <c r="AB302" s="5" t="s">
        <v>330</v>
      </c>
      <c r="AC302" s="7" t="str" cm="1">
        <f t="array" ref="AC302">INDEX($B$10:$Y$25, INT((ROW(A293)-1)/24) + 1, MOD(ROW(A293)-1, 24) + 1)</f>
        <v>A4</v>
      </c>
      <c r="AD302" s="5">
        <v>1</v>
      </c>
      <c r="AE302" s="5" cm="1">
        <f t="array" ref="AE302">INDEX($B$29:$Y$44, INT((ROW(A293)-1)/24) + 1, MOD(ROW(A293)-1, 24) + 1)</f>
        <v>7.407407407407407E-4</v>
      </c>
      <c r="AF302" s="5" cm="1">
        <f t="array" ref="AF302">INDEX($B$48:$Y$63, INT((ROW(A293)-1)/24) + 1, MOD(ROW(A293)-1, 24) + 1)</f>
        <v>157130</v>
      </c>
    </row>
    <row r="303" spans="27:32" x14ac:dyDescent="0.2">
      <c r="AA303" s="5" t="s">
        <v>12</v>
      </c>
      <c r="AB303" s="5" t="s">
        <v>331</v>
      </c>
      <c r="AC303" s="7" t="str" cm="1">
        <f t="array" ref="AC303">INDEX($B$10:$Y$25, INT((ROW(A294)-1)/24) + 1, MOD(ROW(A294)-1, 24) + 1)</f>
        <v>A4</v>
      </c>
      <c r="AD303" s="5">
        <v>1</v>
      </c>
      <c r="AE303" s="5" cm="1">
        <f t="array" ref="AE303">INDEX($B$29:$Y$44, INT((ROW(A294)-1)/24) + 1, MOD(ROW(A294)-1, 24) + 1)</f>
        <v>2.4691358024691359E-4</v>
      </c>
      <c r="AF303" s="5" cm="1">
        <f t="array" ref="AF303">INDEX($B$48:$Y$63, INT((ROW(A294)-1)/24) + 1, MOD(ROW(A294)-1, 24) + 1)</f>
        <v>170645</v>
      </c>
    </row>
    <row r="304" spans="27:32" x14ac:dyDescent="0.2">
      <c r="AA304" s="5" t="s">
        <v>12</v>
      </c>
      <c r="AB304" s="5" t="s">
        <v>332</v>
      </c>
      <c r="AC304" s="7" t="str" cm="1">
        <f t="array" ref="AC304">INDEX($B$10:$Y$25, INT((ROW(A295)-1)/24) + 1, MOD(ROW(A295)-1, 24) + 1)</f>
        <v>A4</v>
      </c>
      <c r="AD304" s="5">
        <v>1</v>
      </c>
      <c r="AE304" s="5" cm="1">
        <f t="array" ref="AE304">INDEX($B$29:$Y$44, INT((ROW(A295)-1)/24) + 1, MOD(ROW(A295)-1, 24) + 1)</f>
        <v>8.23045267489712E-5</v>
      </c>
      <c r="AF304" s="5" cm="1">
        <f t="array" ref="AF304">INDEX($B$48:$Y$63, INT((ROW(A295)-1)/24) + 1, MOD(ROW(A295)-1, 24) + 1)</f>
        <v>159910</v>
      </c>
    </row>
    <row r="305" spans="27:32" x14ac:dyDescent="0.2">
      <c r="AA305" s="5" t="s">
        <v>12</v>
      </c>
      <c r="AB305" s="5" t="s">
        <v>333</v>
      </c>
      <c r="AC305" s="7" t="str" cm="1">
        <f t="array" ref="AC305">INDEX($B$10:$Y$25, INT((ROW(A296)-1)/24) + 1, MOD(ROW(A296)-1, 24) + 1)</f>
        <v>A4</v>
      </c>
      <c r="AD305" s="5">
        <v>1</v>
      </c>
      <c r="AE305" s="5" cm="1">
        <f t="array" ref="AE305">INDEX($B$29:$Y$44, INT((ROW(A296)-1)/24) + 1, MOD(ROW(A296)-1, 24) + 1)</f>
        <v>2.7434842249657068E-5</v>
      </c>
      <c r="AF305" s="5" cm="1">
        <f t="array" ref="AF305">INDEX($B$48:$Y$63, INT((ROW(A296)-1)/24) + 1, MOD(ROW(A296)-1, 24) + 1)</f>
        <v>153505</v>
      </c>
    </row>
    <row r="306" spans="27:32" x14ac:dyDescent="0.2">
      <c r="AA306" s="5" t="s">
        <v>12</v>
      </c>
      <c r="AB306" s="5" t="s">
        <v>334</v>
      </c>
      <c r="AC306" s="7" t="str" cm="1">
        <f t="array" ref="AC306">INDEX($B$10:$Y$25, INT((ROW(A297)-1)/24) + 1, MOD(ROW(A297)-1, 24) + 1)</f>
        <v>A4</v>
      </c>
      <c r="AD306" s="5">
        <v>1</v>
      </c>
      <c r="AE306" s="5" cm="1">
        <f t="array" ref="AE306">INDEX($B$29:$Y$44, INT((ROW(A297)-1)/24) + 1, MOD(ROW(A297)-1, 24) + 1)</f>
        <v>9.1449474165523565E-6</v>
      </c>
      <c r="AF306" s="5" cm="1">
        <f t="array" ref="AF306">INDEX($B$48:$Y$63, INT((ROW(A297)-1)/24) + 1, MOD(ROW(A297)-1, 24) + 1)</f>
        <v>153860</v>
      </c>
    </row>
    <row r="307" spans="27:32" x14ac:dyDescent="0.2">
      <c r="AA307" s="5" t="s">
        <v>12</v>
      </c>
      <c r="AB307" s="5" t="s">
        <v>335</v>
      </c>
      <c r="AC307" s="7" t="str" cm="1">
        <f t="array" ref="AC307">INDEX($B$10:$Y$25, INT((ROW(A298)-1)/24) + 1, MOD(ROW(A298)-1, 24) + 1)</f>
        <v>A4</v>
      </c>
      <c r="AD307" s="5">
        <v>1</v>
      </c>
      <c r="AE307" s="5" cm="1">
        <f t="array" ref="AE307">INDEX($B$29:$Y$44, INT((ROW(A298)-1)/24) + 1, MOD(ROW(A298)-1, 24) + 1)</f>
        <v>3.0483158055174522E-6</v>
      </c>
      <c r="AF307" s="5" cm="1">
        <f t="array" ref="AF307">INDEX($B$48:$Y$63, INT((ROW(A298)-1)/24) + 1, MOD(ROW(A298)-1, 24) + 1)</f>
        <v>153525</v>
      </c>
    </row>
    <row r="308" spans="27:32" x14ac:dyDescent="0.2">
      <c r="AA308" s="5" t="s">
        <v>12</v>
      </c>
      <c r="AB308" s="5" t="s">
        <v>336</v>
      </c>
      <c r="AC308" s="7" t="str" cm="1">
        <f t="array" ref="AC308">INDEX($B$10:$Y$25, INT((ROW(A299)-1)/24) + 1, MOD(ROW(A299)-1, 24) + 1)</f>
        <v>A4</v>
      </c>
      <c r="AD308" s="5">
        <v>1</v>
      </c>
      <c r="AE308" s="5" cm="1">
        <f t="array" ref="AE308">INDEX($B$29:$Y$44, INT((ROW(A299)-1)/24) + 1, MOD(ROW(A299)-1, 24) + 1)</f>
        <v>1.0161052685058173E-6</v>
      </c>
      <c r="AF308" s="5" cm="1">
        <f t="array" ref="AF308">INDEX($B$48:$Y$63, INT((ROW(A299)-1)/24) + 1, MOD(ROW(A299)-1, 24) + 1)</f>
        <v>140885</v>
      </c>
    </row>
    <row r="309" spans="27:32" x14ac:dyDescent="0.2">
      <c r="AA309" s="5" t="s">
        <v>12</v>
      </c>
      <c r="AB309" s="5" t="s">
        <v>337</v>
      </c>
      <c r="AC309" s="7"/>
      <c r="AD309" s="5"/>
      <c r="AE309" s="5" cm="1">
        <f t="array" ref="AE309">INDEX($B$29:$Y$44, INT((ROW(A300)-1)/24) + 1, MOD(ROW(A300)-1, 24) + 1)</f>
        <v>0</v>
      </c>
      <c r="AF309" s="5" cm="1">
        <f t="array" ref="AF309">INDEX($B$48:$Y$63, INT((ROW(A300)-1)/24) + 1, MOD(ROW(A300)-1, 24) + 1)</f>
        <v>895</v>
      </c>
    </row>
    <row r="310" spans="27:32" x14ac:dyDescent="0.2">
      <c r="AA310" s="5" t="s">
        <v>12</v>
      </c>
      <c r="AB310" s="5" t="s">
        <v>338</v>
      </c>
      <c r="AC310" s="7" t="str" cm="1">
        <f t="array" ref="AC310">INDEX($B$10:$Y$25, INT((ROW(A301)-1)/24) + 1, MOD(ROW(A301)-1, 24) + 1)</f>
        <v>B10</v>
      </c>
      <c r="AD310" s="5">
        <v>1</v>
      </c>
      <c r="AE310" s="5" cm="1">
        <f t="array" ref="AE310">INDEX($B$29:$Y$44, INT((ROW(A301)-1)/24) + 1, MOD(ROW(A301)-1, 24) + 1)</f>
        <v>0.2</v>
      </c>
      <c r="AF310" s="5" cm="1">
        <f t="array" ref="AF310">INDEX($B$48:$Y$63, INT((ROW(A301)-1)/24) + 1, MOD(ROW(A301)-1, 24) + 1)</f>
        <v>29495</v>
      </c>
    </row>
    <row r="311" spans="27:32" x14ac:dyDescent="0.2">
      <c r="AA311" s="5" t="s">
        <v>12</v>
      </c>
      <c r="AB311" s="5" t="s">
        <v>339</v>
      </c>
      <c r="AC311" s="7" t="str" cm="1">
        <f t="array" ref="AC311">INDEX($B$10:$Y$25, INT((ROW(A302)-1)/24) + 1, MOD(ROW(A302)-1, 24) + 1)</f>
        <v>B10</v>
      </c>
      <c r="AD311" s="5">
        <v>1</v>
      </c>
      <c r="AE311" s="5" cm="1">
        <f t="array" ref="AE311">INDEX($B$29:$Y$44, INT((ROW(A302)-1)/24) + 1, MOD(ROW(A302)-1, 24) + 1)</f>
        <v>6.6666666666666666E-2</v>
      </c>
      <c r="AF311" s="5" cm="1">
        <f t="array" ref="AF311">INDEX($B$48:$Y$63, INT((ROW(A302)-1)/24) + 1, MOD(ROW(A302)-1, 24) + 1)</f>
        <v>117955</v>
      </c>
    </row>
    <row r="312" spans="27:32" x14ac:dyDescent="0.2">
      <c r="AA312" s="5" t="s">
        <v>12</v>
      </c>
      <c r="AB312" s="5" t="s">
        <v>340</v>
      </c>
      <c r="AC312" s="7" t="str" cm="1">
        <f t="array" ref="AC312">INDEX($B$10:$Y$25, INT((ROW(A303)-1)/24) + 1, MOD(ROW(A303)-1, 24) + 1)</f>
        <v>B10</v>
      </c>
      <c r="AD312" s="5">
        <v>1</v>
      </c>
      <c r="AE312" s="5" cm="1">
        <f t="array" ref="AE312">INDEX($B$29:$Y$44, INT((ROW(A303)-1)/24) + 1, MOD(ROW(A303)-1, 24) + 1)</f>
        <v>2.2222222222222223E-2</v>
      </c>
      <c r="AF312" s="5" cm="1">
        <f t="array" ref="AF312">INDEX($B$48:$Y$63, INT((ROW(A303)-1)/24) + 1, MOD(ROW(A303)-1, 24) + 1)</f>
        <v>116920</v>
      </c>
    </row>
    <row r="313" spans="27:32" x14ac:dyDescent="0.2">
      <c r="AA313" s="5" t="s">
        <v>12</v>
      </c>
      <c r="AB313" s="5" t="s">
        <v>341</v>
      </c>
      <c r="AC313" s="7" t="str" cm="1">
        <f t="array" ref="AC313">INDEX($B$10:$Y$25, INT((ROW(A304)-1)/24) + 1, MOD(ROW(A304)-1, 24) + 1)</f>
        <v>B10</v>
      </c>
      <c r="AD313" s="5">
        <v>1</v>
      </c>
      <c r="AE313" s="5" cm="1">
        <f t="array" ref="AE313">INDEX($B$29:$Y$44, INT((ROW(A304)-1)/24) + 1, MOD(ROW(A304)-1, 24) + 1)</f>
        <v>7.4074074074074077E-3</v>
      </c>
      <c r="AF313" s="5" cm="1">
        <f t="array" ref="AF313">INDEX($B$48:$Y$63, INT((ROW(A304)-1)/24) + 1, MOD(ROW(A304)-1, 24) + 1)</f>
        <v>132305</v>
      </c>
    </row>
    <row r="314" spans="27:32" x14ac:dyDescent="0.2">
      <c r="AA314" s="5" t="s">
        <v>12</v>
      </c>
      <c r="AB314" s="5" t="s">
        <v>342</v>
      </c>
      <c r="AC314" s="7" t="str" cm="1">
        <f t="array" ref="AC314">INDEX($B$10:$Y$25, INT((ROW(A305)-1)/24) + 1, MOD(ROW(A305)-1, 24) + 1)</f>
        <v>B10</v>
      </c>
      <c r="AD314" s="5">
        <v>1</v>
      </c>
      <c r="AE314" s="5" cm="1">
        <f t="array" ref="AE314">INDEX($B$29:$Y$44, INT((ROW(A305)-1)/24) + 1, MOD(ROW(A305)-1, 24) + 1)</f>
        <v>2.4691358024691358E-3</v>
      </c>
      <c r="AF314" s="5" cm="1">
        <f t="array" ref="AF314">INDEX($B$48:$Y$63, INT((ROW(A305)-1)/24) + 1, MOD(ROW(A305)-1, 24) + 1)</f>
        <v>140820</v>
      </c>
    </row>
    <row r="315" spans="27:32" x14ac:dyDescent="0.2">
      <c r="AA315" s="5" t="s">
        <v>12</v>
      </c>
      <c r="AB315" s="5" t="s">
        <v>343</v>
      </c>
      <c r="AC315" s="7" t="str" cm="1">
        <f t="array" ref="AC315">INDEX($B$10:$Y$25, INT((ROW(A306)-1)/24) + 1, MOD(ROW(A306)-1, 24) + 1)</f>
        <v>B10</v>
      </c>
      <c r="AD315" s="5">
        <v>1</v>
      </c>
      <c r="AE315" s="5" cm="1">
        <f t="array" ref="AE315">INDEX($B$29:$Y$44, INT((ROW(A306)-1)/24) + 1, MOD(ROW(A306)-1, 24) + 1)</f>
        <v>8.2304526748971192E-4</v>
      </c>
      <c r="AF315" s="5" cm="1">
        <f t="array" ref="AF315">INDEX($B$48:$Y$63, INT((ROW(A306)-1)/24) + 1, MOD(ROW(A306)-1, 24) + 1)</f>
        <v>148985</v>
      </c>
    </row>
    <row r="316" spans="27:32" x14ac:dyDescent="0.2">
      <c r="AA316" s="5" t="s">
        <v>12</v>
      </c>
      <c r="AB316" s="5" t="s">
        <v>344</v>
      </c>
      <c r="AC316" s="7" t="str" cm="1">
        <f t="array" ref="AC316">INDEX($B$10:$Y$25, INT((ROW(A307)-1)/24) + 1, MOD(ROW(A307)-1, 24) + 1)</f>
        <v>B10</v>
      </c>
      <c r="AD316" s="5">
        <v>1</v>
      </c>
      <c r="AE316" s="5" cm="1">
        <f t="array" ref="AE316">INDEX($B$29:$Y$44, INT((ROW(A307)-1)/24) + 1, MOD(ROW(A307)-1, 24) + 1)</f>
        <v>2.7434842249657066E-4</v>
      </c>
      <c r="AF316" s="5" cm="1">
        <f t="array" ref="AF316">INDEX($B$48:$Y$63, INT((ROW(A307)-1)/24) + 1, MOD(ROW(A307)-1, 24) + 1)</f>
        <v>152540</v>
      </c>
    </row>
    <row r="317" spans="27:32" x14ac:dyDescent="0.2">
      <c r="AA317" s="5" t="s">
        <v>12</v>
      </c>
      <c r="AB317" s="5" t="s">
        <v>345</v>
      </c>
      <c r="AC317" s="7" t="str" cm="1">
        <f t="array" ref="AC317">INDEX($B$10:$Y$25, INT((ROW(A308)-1)/24) + 1, MOD(ROW(A308)-1, 24) + 1)</f>
        <v>B10</v>
      </c>
      <c r="AD317" s="5">
        <v>1</v>
      </c>
      <c r="AE317" s="5" cm="1">
        <f t="array" ref="AE317">INDEX($B$29:$Y$44, INT((ROW(A308)-1)/24) + 1, MOD(ROW(A308)-1, 24) + 1)</f>
        <v>9.1449474165523548E-5</v>
      </c>
      <c r="AF317" s="5" cm="1">
        <f t="array" ref="AF317">INDEX($B$48:$Y$63, INT((ROW(A308)-1)/24) + 1, MOD(ROW(A308)-1, 24) + 1)</f>
        <v>156900</v>
      </c>
    </row>
    <row r="318" spans="27:32" x14ac:dyDescent="0.2">
      <c r="AA318" s="5" t="s">
        <v>12</v>
      </c>
      <c r="AB318" s="5" t="s">
        <v>346</v>
      </c>
      <c r="AC318" s="7" t="str" cm="1">
        <f t="array" ref="AC318">INDEX($B$10:$Y$25, INT((ROW(A309)-1)/24) + 1, MOD(ROW(A309)-1, 24) + 1)</f>
        <v>B10</v>
      </c>
      <c r="AD318" s="5">
        <v>1</v>
      </c>
      <c r="AE318" s="5" cm="1">
        <f t="array" ref="AE318">INDEX($B$29:$Y$44, INT((ROW(A309)-1)/24) + 1, MOD(ROW(A309)-1, 24) + 1)</f>
        <v>3.0483158055174515E-5</v>
      </c>
      <c r="AF318" s="5" cm="1">
        <f t="array" ref="AF318">INDEX($B$48:$Y$63, INT((ROW(A309)-1)/24) + 1, MOD(ROW(A309)-1, 24) + 1)</f>
        <v>153710</v>
      </c>
    </row>
    <row r="319" spans="27:32" x14ac:dyDescent="0.2">
      <c r="AA319" s="5" t="s">
        <v>12</v>
      </c>
      <c r="AB319" s="5" t="s">
        <v>347</v>
      </c>
      <c r="AC319" s="7" t="str" cm="1">
        <f t="array" ref="AC319">INDEX($B$10:$Y$25, INT((ROW(A310)-1)/24) + 1, MOD(ROW(A310)-1, 24) + 1)</f>
        <v>B10</v>
      </c>
      <c r="AD319" s="5">
        <v>1</v>
      </c>
      <c r="AE319" s="5" cm="1">
        <f t="array" ref="AE319">INDEX($B$29:$Y$44, INT((ROW(A310)-1)/24) + 1, MOD(ROW(A310)-1, 24) + 1)</f>
        <v>1.0161052685058171E-5</v>
      </c>
      <c r="AF319" s="5" cm="1">
        <f t="array" ref="AF319">INDEX($B$48:$Y$63, INT((ROW(A310)-1)/24) + 1, MOD(ROW(A310)-1, 24) + 1)</f>
        <v>144130</v>
      </c>
    </row>
    <row r="320" spans="27:32" x14ac:dyDescent="0.2">
      <c r="AA320" s="5" t="s">
        <v>12</v>
      </c>
      <c r="AB320" s="5" t="s">
        <v>348</v>
      </c>
      <c r="AC320" s="7" t="str" cm="1">
        <f t="array" ref="AC320">INDEX($B$10:$Y$25, INT((ROW(A311)-1)/24) + 1, MOD(ROW(A311)-1, 24) + 1)</f>
        <v>B10</v>
      </c>
      <c r="AD320" s="5">
        <v>1</v>
      </c>
      <c r="AE320" s="5" cm="1">
        <f t="array" ref="AE320">INDEX($B$29:$Y$44, INT((ROW(A311)-1)/24) + 1, MOD(ROW(A311)-1, 24) + 1)</f>
        <v>3.3870175616860569E-6</v>
      </c>
      <c r="AF320" s="5" cm="1">
        <f t="array" ref="AF320">INDEX($B$48:$Y$63, INT((ROW(A311)-1)/24) + 1, MOD(ROW(A311)-1, 24) + 1)</f>
        <v>129895</v>
      </c>
    </row>
    <row r="321" spans="27:32" x14ac:dyDescent="0.2">
      <c r="AA321" s="5" t="s">
        <v>12</v>
      </c>
      <c r="AB321" s="5" t="s">
        <v>349</v>
      </c>
      <c r="AC321" s="7"/>
      <c r="AD321" s="5"/>
      <c r="AE321" s="5" cm="1">
        <f t="array" ref="AE321">INDEX($B$29:$Y$44, INT((ROW(A312)-1)/24) + 1, MOD(ROW(A312)-1, 24) + 1)</f>
        <v>0</v>
      </c>
      <c r="AF321" s="5" cm="1">
        <f t="array" ref="AF321">INDEX($B$48:$Y$63, INT((ROW(A312)-1)/24) + 1, MOD(ROW(A312)-1, 24) + 1)</f>
        <v>845</v>
      </c>
    </row>
    <row r="322" spans="27:32" x14ac:dyDescent="0.2">
      <c r="AA322" s="5" t="s">
        <v>12</v>
      </c>
      <c r="AB322" s="5" t="s">
        <v>350</v>
      </c>
      <c r="AC322" s="7" t="str" cm="1">
        <f t="array" ref="AC322">INDEX($B$10:$Y$25, INT((ROW(A313)-1)/24) + 1, MOD(ROW(A313)-1, 24) + 1)</f>
        <v>A4</v>
      </c>
      <c r="AD322" s="5">
        <v>1</v>
      </c>
      <c r="AE322" s="5" cm="1">
        <f t="array" ref="AE322">INDEX($B$29:$Y$44, INT((ROW(A313)-1)/24) + 1, MOD(ROW(A313)-1, 24) + 1)</f>
        <v>0.06</v>
      </c>
      <c r="AF322" s="5" cm="1">
        <f t="array" ref="AF322">INDEX($B$48:$Y$63, INT((ROW(A313)-1)/24) + 1, MOD(ROW(A313)-1, 24) + 1)</f>
        <v>104135</v>
      </c>
    </row>
    <row r="323" spans="27:32" x14ac:dyDescent="0.2">
      <c r="AA323" s="5" t="s">
        <v>12</v>
      </c>
      <c r="AB323" s="5" t="s">
        <v>351</v>
      </c>
      <c r="AC323" s="7" t="str" cm="1">
        <f t="array" ref="AC323">INDEX($B$10:$Y$25, INT((ROW(A314)-1)/24) + 1, MOD(ROW(A314)-1, 24) + 1)</f>
        <v>A4</v>
      </c>
      <c r="AD323" s="5">
        <v>1</v>
      </c>
      <c r="AE323" s="5" cm="1">
        <f t="array" ref="AE323">INDEX($B$29:$Y$44, INT((ROW(A314)-1)/24) + 1, MOD(ROW(A314)-1, 24) + 1)</f>
        <v>0.02</v>
      </c>
      <c r="AF323" s="5" cm="1">
        <f t="array" ref="AF323">INDEX($B$48:$Y$63, INT((ROW(A314)-1)/24) + 1, MOD(ROW(A314)-1, 24) + 1)</f>
        <v>153390</v>
      </c>
    </row>
    <row r="324" spans="27:32" x14ac:dyDescent="0.2">
      <c r="AA324" s="5" t="s">
        <v>12</v>
      </c>
      <c r="AB324" s="5" t="s">
        <v>352</v>
      </c>
      <c r="AC324" s="7" t="str" cm="1">
        <f t="array" ref="AC324">INDEX($B$10:$Y$25, INT((ROW(A315)-1)/24) + 1, MOD(ROW(A315)-1, 24) + 1)</f>
        <v>A4</v>
      </c>
      <c r="AD324" s="5">
        <v>1</v>
      </c>
      <c r="AE324" s="5" cm="1">
        <f t="array" ref="AE324">INDEX($B$29:$Y$44, INT((ROW(A315)-1)/24) + 1, MOD(ROW(A315)-1, 24) + 1)</f>
        <v>6.6666666666666671E-3</v>
      </c>
      <c r="AF324" s="5" cm="1">
        <f t="array" ref="AF324">INDEX($B$48:$Y$63, INT((ROW(A315)-1)/24) + 1, MOD(ROW(A315)-1, 24) + 1)</f>
        <v>157340</v>
      </c>
    </row>
    <row r="325" spans="27:32" x14ac:dyDescent="0.2">
      <c r="AA325" s="5" t="s">
        <v>12</v>
      </c>
      <c r="AB325" s="5" t="s">
        <v>353</v>
      </c>
      <c r="AC325" s="7" t="str" cm="1">
        <f t="array" ref="AC325">INDEX($B$10:$Y$25, INT((ROW(A316)-1)/24) + 1, MOD(ROW(A316)-1, 24) + 1)</f>
        <v>A4</v>
      </c>
      <c r="AD325" s="5">
        <v>1</v>
      </c>
      <c r="AE325" s="5" cm="1">
        <f t="array" ref="AE325">INDEX($B$29:$Y$44, INT((ROW(A316)-1)/24) + 1, MOD(ROW(A316)-1, 24) + 1)</f>
        <v>2.2222222222222222E-3</v>
      </c>
      <c r="AF325" s="5" cm="1">
        <f t="array" ref="AF325">INDEX($B$48:$Y$63, INT((ROW(A316)-1)/24) + 1, MOD(ROW(A316)-1, 24) + 1)</f>
        <v>155145</v>
      </c>
    </row>
    <row r="326" spans="27:32" x14ac:dyDescent="0.2">
      <c r="AA326" s="5" t="s">
        <v>12</v>
      </c>
      <c r="AB326" s="5" t="s">
        <v>354</v>
      </c>
      <c r="AC326" s="7" t="str" cm="1">
        <f t="array" ref="AC326">INDEX($B$10:$Y$25, INT((ROW(A317)-1)/24) + 1, MOD(ROW(A317)-1, 24) + 1)</f>
        <v>A4</v>
      </c>
      <c r="AD326" s="5">
        <v>1</v>
      </c>
      <c r="AE326" s="5" cm="1">
        <f t="array" ref="AE326">INDEX($B$29:$Y$44, INT((ROW(A317)-1)/24) + 1, MOD(ROW(A317)-1, 24) + 1)</f>
        <v>7.407407407407407E-4</v>
      </c>
      <c r="AF326" s="5" cm="1">
        <f t="array" ref="AF326">INDEX($B$48:$Y$63, INT((ROW(A317)-1)/24) + 1, MOD(ROW(A317)-1, 24) + 1)</f>
        <v>155190</v>
      </c>
    </row>
    <row r="327" spans="27:32" x14ac:dyDescent="0.2">
      <c r="AA327" s="5" t="s">
        <v>12</v>
      </c>
      <c r="AB327" s="5" t="s">
        <v>355</v>
      </c>
      <c r="AC327" s="7" t="str" cm="1">
        <f t="array" ref="AC327">INDEX($B$10:$Y$25, INT((ROW(A318)-1)/24) + 1, MOD(ROW(A318)-1, 24) + 1)</f>
        <v>A4</v>
      </c>
      <c r="AD327" s="5">
        <v>1</v>
      </c>
      <c r="AE327" s="5" cm="1">
        <f t="array" ref="AE327">INDEX($B$29:$Y$44, INT((ROW(A318)-1)/24) + 1, MOD(ROW(A318)-1, 24) + 1)</f>
        <v>2.4691358024691359E-4</v>
      </c>
      <c r="AF327" s="5" cm="1">
        <f t="array" ref="AF327">INDEX($B$48:$Y$63, INT((ROW(A318)-1)/24) + 1, MOD(ROW(A318)-1, 24) + 1)</f>
        <v>166805</v>
      </c>
    </row>
    <row r="328" spans="27:32" x14ac:dyDescent="0.2">
      <c r="AA328" s="5" t="s">
        <v>12</v>
      </c>
      <c r="AB328" s="5" t="s">
        <v>356</v>
      </c>
      <c r="AC328" s="7" t="str" cm="1">
        <f t="array" ref="AC328">INDEX($B$10:$Y$25, INT((ROW(A319)-1)/24) + 1, MOD(ROW(A319)-1, 24) + 1)</f>
        <v>A4</v>
      </c>
      <c r="AD328" s="5">
        <v>1</v>
      </c>
      <c r="AE328" s="5" cm="1">
        <f t="array" ref="AE328">INDEX($B$29:$Y$44, INT((ROW(A319)-1)/24) + 1, MOD(ROW(A319)-1, 24) + 1)</f>
        <v>8.23045267489712E-5</v>
      </c>
      <c r="AF328" s="5" cm="1">
        <f t="array" ref="AF328">INDEX($B$48:$Y$63, INT((ROW(A319)-1)/24) + 1, MOD(ROW(A319)-1, 24) + 1)</f>
        <v>152755</v>
      </c>
    </row>
    <row r="329" spans="27:32" x14ac:dyDescent="0.2">
      <c r="AA329" s="5" t="s">
        <v>12</v>
      </c>
      <c r="AB329" s="5" t="s">
        <v>357</v>
      </c>
      <c r="AC329" s="7" t="str" cm="1">
        <f t="array" ref="AC329">INDEX($B$10:$Y$25, INT((ROW(A320)-1)/24) + 1, MOD(ROW(A320)-1, 24) + 1)</f>
        <v>A4</v>
      </c>
      <c r="AD329" s="5">
        <v>1</v>
      </c>
      <c r="AE329" s="5" cm="1">
        <f t="array" ref="AE329">INDEX($B$29:$Y$44, INT((ROW(A320)-1)/24) + 1, MOD(ROW(A320)-1, 24) + 1)</f>
        <v>2.7434842249657068E-5</v>
      </c>
      <c r="AF329" s="5" cm="1">
        <f t="array" ref="AF329">INDEX($B$48:$Y$63, INT((ROW(A320)-1)/24) + 1, MOD(ROW(A320)-1, 24) + 1)</f>
        <v>151205</v>
      </c>
    </row>
    <row r="330" spans="27:32" x14ac:dyDescent="0.2">
      <c r="AA330" s="5" t="s">
        <v>12</v>
      </c>
      <c r="AB330" s="5" t="s">
        <v>358</v>
      </c>
      <c r="AC330" s="7" t="str" cm="1">
        <f t="array" ref="AC330">INDEX($B$10:$Y$25, INT((ROW(A321)-1)/24) + 1, MOD(ROW(A321)-1, 24) + 1)</f>
        <v>A4</v>
      </c>
      <c r="AD330" s="5">
        <v>1</v>
      </c>
      <c r="AE330" s="5" cm="1">
        <f t="array" ref="AE330">INDEX($B$29:$Y$44, INT((ROW(A321)-1)/24) + 1, MOD(ROW(A321)-1, 24) + 1)</f>
        <v>9.1449474165523565E-6</v>
      </c>
      <c r="AF330" s="5" cm="1">
        <f t="array" ref="AF330">INDEX($B$48:$Y$63, INT((ROW(A321)-1)/24) + 1, MOD(ROW(A321)-1, 24) + 1)</f>
        <v>154725</v>
      </c>
    </row>
    <row r="331" spans="27:32" x14ac:dyDescent="0.2">
      <c r="AA331" s="5" t="s">
        <v>12</v>
      </c>
      <c r="AB331" s="5" t="s">
        <v>359</v>
      </c>
      <c r="AC331" s="7" t="str" cm="1">
        <f t="array" ref="AC331">INDEX($B$10:$Y$25, INT((ROW(A322)-1)/24) + 1, MOD(ROW(A322)-1, 24) + 1)</f>
        <v>A4</v>
      </c>
      <c r="AD331" s="5">
        <v>1</v>
      </c>
      <c r="AE331" s="5" cm="1">
        <f t="array" ref="AE331">INDEX($B$29:$Y$44, INT((ROW(A322)-1)/24) + 1, MOD(ROW(A322)-1, 24) + 1)</f>
        <v>3.0483158055174522E-6</v>
      </c>
      <c r="AF331" s="5" cm="1">
        <f t="array" ref="AF331">INDEX($B$48:$Y$63, INT((ROW(A322)-1)/24) + 1, MOD(ROW(A322)-1, 24) + 1)</f>
        <v>150995</v>
      </c>
    </row>
    <row r="332" spans="27:32" x14ac:dyDescent="0.2">
      <c r="AA332" s="5" t="s">
        <v>12</v>
      </c>
      <c r="AB332" s="5" t="s">
        <v>360</v>
      </c>
      <c r="AC332" s="7" t="str" cm="1">
        <f t="array" ref="AC332">INDEX($B$10:$Y$25, INT((ROW(A323)-1)/24) + 1, MOD(ROW(A323)-1, 24) + 1)</f>
        <v>A4</v>
      </c>
      <c r="AD332" s="5">
        <v>1</v>
      </c>
      <c r="AE332" s="5" cm="1">
        <f t="array" ref="AE332">INDEX($B$29:$Y$44, INT((ROW(A323)-1)/24) + 1, MOD(ROW(A323)-1, 24) + 1)</f>
        <v>1.0161052685058173E-6</v>
      </c>
      <c r="AF332" s="5" cm="1">
        <f t="array" ref="AF332">INDEX($B$48:$Y$63, INT((ROW(A323)-1)/24) + 1, MOD(ROW(A323)-1, 24) + 1)</f>
        <v>158425</v>
      </c>
    </row>
    <row r="333" spans="27:32" x14ac:dyDescent="0.2">
      <c r="AA333" s="5" t="s">
        <v>12</v>
      </c>
      <c r="AB333" s="5" t="s">
        <v>361</v>
      </c>
      <c r="AC333" s="7"/>
      <c r="AD333" s="5"/>
      <c r="AE333" s="5" cm="1">
        <f t="array" ref="AE333">INDEX($B$29:$Y$44, INT((ROW(A324)-1)/24) + 1, MOD(ROW(A324)-1, 24) + 1)</f>
        <v>0</v>
      </c>
      <c r="AF333" s="5" cm="1">
        <f t="array" ref="AF333">INDEX($B$48:$Y$63, INT((ROW(A324)-1)/24) + 1, MOD(ROW(A324)-1, 24) + 1)</f>
        <v>1110</v>
      </c>
    </row>
    <row r="334" spans="27:32" x14ac:dyDescent="0.2">
      <c r="AA334" s="5" t="s">
        <v>12</v>
      </c>
      <c r="AB334" s="5" t="s">
        <v>362</v>
      </c>
      <c r="AC334" s="7" t="str" cm="1">
        <f t="array" ref="AC334">INDEX($B$10:$Y$25, INT((ROW(A325)-1)/24) + 1, MOD(ROW(A325)-1, 24) + 1)</f>
        <v>B10</v>
      </c>
      <c r="AD334" s="5">
        <v>1</v>
      </c>
      <c r="AE334" s="5" cm="1">
        <f t="array" ref="AE334">INDEX($B$29:$Y$44, INT((ROW(A325)-1)/24) + 1, MOD(ROW(A325)-1, 24) + 1)</f>
        <v>0.2</v>
      </c>
      <c r="AF334" s="5" cm="1">
        <f t="array" ref="AF334">INDEX($B$48:$Y$63, INT((ROW(A325)-1)/24) + 1, MOD(ROW(A325)-1, 24) + 1)</f>
        <v>33905</v>
      </c>
    </row>
    <row r="335" spans="27:32" x14ac:dyDescent="0.2">
      <c r="AA335" s="5" t="s">
        <v>12</v>
      </c>
      <c r="AB335" s="5" t="s">
        <v>363</v>
      </c>
      <c r="AC335" s="7" t="str" cm="1">
        <f t="array" ref="AC335">INDEX($B$10:$Y$25, INT((ROW(A326)-1)/24) + 1, MOD(ROW(A326)-1, 24) + 1)</f>
        <v>B10</v>
      </c>
      <c r="AD335" s="5">
        <v>1</v>
      </c>
      <c r="AE335" s="5" cm="1">
        <f t="array" ref="AE335">INDEX($B$29:$Y$44, INT((ROW(A326)-1)/24) + 1, MOD(ROW(A326)-1, 24) + 1)</f>
        <v>6.6666666666666666E-2</v>
      </c>
      <c r="AF335" s="5" cm="1">
        <f t="array" ref="AF335">INDEX($B$48:$Y$63, INT((ROW(A326)-1)/24) + 1, MOD(ROW(A326)-1, 24) + 1)</f>
        <v>116665</v>
      </c>
    </row>
    <row r="336" spans="27:32" x14ac:dyDescent="0.2">
      <c r="AA336" s="5" t="s">
        <v>12</v>
      </c>
      <c r="AB336" s="5" t="s">
        <v>364</v>
      </c>
      <c r="AC336" s="7" t="str" cm="1">
        <f t="array" ref="AC336">INDEX($B$10:$Y$25, INT((ROW(A327)-1)/24) + 1, MOD(ROW(A327)-1, 24) + 1)</f>
        <v>B10</v>
      </c>
      <c r="AD336" s="5">
        <v>1</v>
      </c>
      <c r="AE336" s="5" cm="1">
        <f t="array" ref="AE336">INDEX($B$29:$Y$44, INT((ROW(A327)-1)/24) + 1, MOD(ROW(A327)-1, 24) + 1)</f>
        <v>2.2222222222222223E-2</v>
      </c>
      <c r="AF336" s="5" cm="1">
        <f t="array" ref="AF336">INDEX($B$48:$Y$63, INT((ROW(A327)-1)/24) + 1, MOD(ROW(A327)-1, 24) + 1)</f>
        <v>122535</v>
      </c>
    </row>
    <row r="337" spans="27:32" x14ac:dyDescent="0.2">
      <c r="AA337" s="5" t="s">
        <v>12</v>
      </c>
      <c r="AB337" s="5" t="s">
        <v>365</v>
      </c>
      <c r="AC337" s="7" t="str" cm="1">
        <f t="array" ref="AC337">INDEX($B$10:$Y$25, INT((ROW(A328)-1)/24) + 1, MOD(ROW(A328)-1, 24) + 1)</f>
        <v>B10</v>
      </c>
      <c r="AD337" s="5">
        <v>1</v>
      </c>
      <c r="AE337" s="5" cm="1">
        <f t="array" ref="AE337">INDEX($B$29:$Y$44, INT((ROW(A328)-1)/24) + 1, MOD(ROW(A328)-1, 24) + 1)</f>
        <v>7.4074074074074077E-3</v>
      </c>
      <c r="AF337" s="5" cm="1">
        <f t="array" ref="AF337">INDEX($B$48:$Y$63, INT((ROW(A328)-1)/24) + 1, MOD(ROW(A328)-1, 24) + 1)</f>
        <v>146710</v>
      </c>
    </row>
    <row r="338" spans="27:32" x14ac:dyDescent="0.2">
      <c r="AA338" s="5" t="s">
        <v>12</v>
      </c>
      <c r="AB338" s="5" t="s">
        <v>366</v>
      </c>
      <c r="AC338" s="7" t="str" cm="1">
        <f t="array" ref="AC338">INDEX($B$10:$Y$25, INT((ROW(A329)-1)/24) + 1, MOD(ROW(A329)-1, 24) + 1)</f>
        <v>B10</v>
      </c>
      <c r="AD338" s="5">
        <v>1</v>
      </c>
      <c r="AE338" s="5" cm="1">
        <f t="array" ref="AE338">INDEX($B$29:$Y$44, INT((ROW(A329)-1)/24) + 1, MOD(ROW(A329)-1, 24) + 1)</f>
        <v>2.4691358024691358E-3</v>
      </c>
      <c r="AF338" s="5" cm="1">
        <f t="array" ref="AF338">INDEX($B$48:$Y$63, INT((ROW(A329)-1)/24) + 1, MOD(ROW(A329)-1, 24) + 1)</f>
        <v>144655</v>
      </c>
    </row>
    <row r="339" spans="27:32" x14ac:dyDescent="0.2">
      <c r="AA339" s="5" t="s">
        <v>12</v>
      </c>
      <c r="AB339" s="5" t="s">
        <v>367</v>
      </c>
      <c r="AC339" s="7" t="str" cm="1">
        <f t="array" ref="AC339">INDEX($B$10:$Y$25, INT((ROW(A330)-1)/24) + 1, MOD(ROW(A330)-1, 24) + 1)</f>
        <v>B10</v>
      </c>
      <c r="AD339" s="5">
        <v>1</v>
      </c>
      <c r="AE339" s="5" cm="1">
        <f t="array" ref="AE339">INDEX($B$29:$Y$44, INT((ROW(A330)-1)/24) + 1, MOD(ROW(A330)-1, 24) + 1)</f>
        <v>8.2304526748971192E-4</v>
      </c>
      <c r="AF339" s="5" cm="1">
        <f t="array" ref="AF339">INDEX($B$48:$Y$63, INT((ROW(A330)-1)/24) + 1, MOD(ROW(A330)-1, 24) + 1)</f>
        <v>132385</v>
      </c>
    </row>
    <row r="340" spans="27:32" x14ac:dyDescent="0.2">
      <c r="AA340" s="5" t="s">
        <v>12</v>
      </c>
      <c r="AB340" s="5" t="s">
        <v>368</v>
      </c>
      <c r="AC340" s="7" t="str" cm="1">
        <f t="array" ref="AC340">INDEX($B$10:$Y$25, INT((ROW(A331)-1)/24) + 1, MOD(ROW(A331)-1, 24) + 1)</f>
        <v>B10</v>
      </c>
      <c r="AD340" s="5">
        <v>1</v>
      </c>
      <c r="AE340" s="5" cm="1">
        <f t="array" ref="AE340">INDEX($B$29:$Y$44, INT((ROW(A331)-1)/24) + 1, MOD(ROW(A331)-1, 24) + 1)</f>
        <v>2.7434842249657066E-4</v>
      </c>
      <c r="AF340" s="5" cm="1">
        <f t="array" ref="AF340">INDEX($B$48:$Y$63, INT((ROW(A331)-1)/24) + 1, MOD(ROW(A331)-1, 24) + 1)</f>
        <v>145470</v>
      </c>
    </row>
    <row r="341" spans="27:32" x14ac:dyDescent="0.2">
      <c r="AA341" s="5" t="s">
        <v>12</v>
      </c>
      <c r="AB341" s="5" t="s">
        <v>369</v>
      </c>
      <c r="AC341" s="7" t="str" cm="1">
        <f t="array" ref="AC341">INDEX($B$10:$Y$25, INT((ROW(A332)-1)/24) + 1, MOD(ROW(A332)-1, 24) + 1)</f>
        <v>B10</v>
      </c>
      <c r="AD341" s="5">
        <v>1</v>
      </c>
      <c r="AE341" s="5" cm="1">
        <f t="array" ref="AE341">INDEX($B$29:$Y$44, INT((ROW(A332)-1)/24) + 1, MOD(ROW(A332)-1, 24) + 1)</f>
        <v>9.1449474165523548E-5</v>
      </c>
      <c r="AF341" s="5" cm="1">
        <f t="array" ref="AF341">INDEX($B$48:$Y$63, INT((ROW(A332)-1)/24) + 1, MOD(ROW(A332)-1, 24) + 1)</f>
        <v>154730</v>
      </c>
    </row>
    <row r="342" spans="27:32" x14ac:dyDescent="0.2">
      <c r="AA342" s="5" t="s">
        <v>12</v>
      </c>
      <c r="AB342" s="5" t="s">
        <v>370</v>
      </c>
      <c r="AC342" s="7" t="str" cm="1">
        <f t="array" ref="AC342">INDEX($B$10:$Y$25, INT((ROW(A333)-1)/24) + 1, MOD(ROW(A333)-1, 24) + 1)</f>
        <v>B10</v>
      </c>
      <c r="AD342" s="5">
        <v>1</v>
      </c>
      <c r="AE342" s="5" cm="1">
        <f t="array" ref="AE342">INDEX($B$29:$Y$44, INT((ROW(A333)-1)/24) + 1, MOD(ROW(A333)-1, 24) + 1)</f>
        <v>3.0483158055174515E-5</v>
      </c>
      <c r="AF342" s="5" cm="1">
        <f t="array" ref="AF342">INDEX($B$48:$Y$63, INT((ROW(A333)-1)/24) + 1, MOD(ROW(A333)-1, 24) + 1)</f>
        <v>150090</v>
      </c>
    </row>
    <row r="343" spans="27:32" x14ac:dyDescent="0.2">
      <c r="AA343" s="5" t="s">
        <v>12</v>
      </c>
      <c r="AB343" s="5" t="s">
        <v>371</v>
      </c>
      <c r="AC343" s="7" t="str" cm="1">
        <f t="array" ref="AC343">INDEX($B$10:$Y$25, INT((ROW(A334)-1)/24) + 1, MOD(ROW(A334)-1, 24) + 1)</f>
        <v>B10</v>
      </c>
      <c r="AD343" s="5">
        <v>1</v>
      </c>
      <c r="AE343" s="5" cm="1">
        <f t="array" ref="AE343">INDEX($B$29:$Y$44, INT((ROW(A334)-1)/24) + 1, MOD(ROW(A334)-1, 24) + 1)</f>
        <v>1.0161052685058171E-5</v>
      </c>
      <c r="AF343" s="5" cm="1">
        <f t="array" ref="AF343">INDEX($B$48:$Y$63, INT((ROW(A334)-1)/24) + 1, MOD(ROW(A334)-1, 24) + 1)</f>
        <v>161515</v>
      </c>
    </row>
    <row r="344" spans="27:32" x14ac:dyDescent="0.2">
      <c r="AA344" s="5" t="s">
        <v>12</v>
      </c>
      <c r="AB344" s="5" t="s">
        <v>372</v>
      </c>
      <c r="AC344" s="7" t="str" cm="1">
        <f t="array" ref="AC344">INDEX($B$10:$Y$25, INT((ROW(A335)-1)/24) + 1, MOD(ROW(A335)-1, 24) + 1)</f>
        <v>B10</v>
      </c>
      <c r="AD344" s="5">
        <v>1</v>
      </c>
      <c r="AE344" s="5" cm="1">
        <f t="array" ref="AE344">INDEX($B$29:$Y$44, INT((ROW(A335)-1)/24) + 1, MOD(ROW(A335)-1, 24) + 1)</f>
        <v>3.3870175616860569E-6</v>
      </c>
      <c r="AF344" s="5" cm="1">
        <f t="array" ref="AF344">INDEX($B$48:$Y$63, INT((ROW(A335)-1)/24) + 1, MOD(ROW(A335)-1, 24) + 1)</f>
        <v>150810</v>
      </c>
    </row>
    <row r="345" spans="27:32" x14ac:dyDescent="0.2">
      <c r="AA345" s="5" t="s">
        <v>12</v>
      </c>
      <c r="AB345" s="5" t="s">
        <v>373</v>
      </c>
      <c r="AC345" s="7"/>
      <c r="AD345" s="5"/>
      <c r="AE345" s="5" cm="1">
        <f t="array" ref="AE345">INDEX($B$29:$Y$44, INT((ROW(A336)-1)/24) + 1, MOD(ROW(A336)-1, 24) + 1)</f>
        <v>0</v>
      </c>
      <c r="AF345" s="5" cm="1">
        <f t="array" ref="AF345">INDEX($B$48:$Y$63, INT((ROW(A336)-1)/24) + 1, MOD(ROW(A336)-1, 24) + 1)</f>
        <v>965</v>
      </c>
    </row>
    <row r="346" spans="27:32" x14ac:dyDescent="0.2">
      <c r="AA346" s="5" t="s">
        <v>12</v>
      </c>
      <c r="AB346" s="5" t="s">
        <v>374</v>
      </c>
      <c r="AC346" s="7" t="str" cm="1">
        <f t="array" ref="AC346">INDEX($B$10:$Y$25, INT((ROW(A337)-1)/24) + 1, MOD(ROW(A337)-1, 24) + 1)</f>
        <v>A8</v>
      </c>
      <c r="AD346" s="5">
        <v>1</v>
      </c>
      <c r="AE346" s="5" cm="1">
        <f t="array" ref="AE346">INDEX($B$29:$Y$44, INT((ROW(A337)-1)/24) + 1, MOD(ROW(A337)-1, 24) + 1)</f>
        <v>6.32</v>
      </c>
      <c r="AF346" s="5" cm="1">
        <f t="array" ref="AF346">INDEX($B$48:$Y$63, INT((ROW(A337)-1)/24) + 1, MOD(ROW(A337)-1, 24) + 1)</f>
        <v>1855</v>
      </c>
    </row>
    <row r="347" spans="27:32" x14ac:dyDescent="0.2">
      <c r="AA347" s="5" t="s">
        <v>12</v>
      </c>
      <c r="AB347" s="5" t="s">
        <v>375</v>
      </c>
      <c r="AC347" s="7" t="str" cm="1">
        <f t="array" ref="AC347">INDEX($B$10:$Y$25, INT((ROW(A338)-1)/24) + 1, MOD(ROW(A338)-1, 24) + 1)</f>
        <v>A8</v>
      </c>
      <c r="AD347" s="5">
        <v>1</v>
      </c>
      <c r="AE347" s="5" cm="1">
        <f t="array" ref="AE347">INDEX($B$29:$Y$44, INT((ROW(A338)-1)/24) + 1, MOD(ROW(A338)-1, 24) + 1)</f>
        <v>2.1066666666666669</v>
      </c>
      <c r="AF347" s="5" cm="1">
        <f t="array" ref="AF347">INDEX($B$48:$Y$63, INT((ROW(A338)-1)/24) + 1, MOD(ROW(A338)-1, 24) + 1)</f>
        <v>3830</v>
      </c>
    </row>
    <row r="348" spans="27:32" x14ac:dyDescent="0.2">
      <c r="AA348" s="5" t="s">
        <v>12</v>
      </c>
      <c r="AB348" s="5" t="s">
        <v>376</v>
      </c>
      <c r="AC348" s="7" t="str" cm="1">
        <f t="array" ref="AC348">INDEX($B$10:$Y$25, INT((ROW(A339)-1)/24) + 1, MOD(ROW(A339)-1, 24) + 1)</f>
        <v>A8</v>
      </c>
      <c r="AD348" s="5">
        <v>1</v>
      </c>
      <c r="AE348" s="5" cm="1">
        <f t="array" ref="AE348">INDEX($B$29:$Y$44, INT((ROW(A339)-1)/24) + 1, MOD(ROW(A339)-1, 24) + 1)</f>
        <v>0.7022222222222223</v>
      </c>
      <c r="AF348" s="5" cm="1">
        <f t="array" ref="AF348">INDEX($B$48:$Y$63, INT((ROW(A339)-1)/24) + 1, MOD(ROW(A339)-1, 24) + 1)</f>
        <v>6515</v>
      </c>
    </row>
    <row r="349" spans="27:32" x14ac:dyDescent="0.2">
      <c r="AA349" s="5" t="s">
        <v>12</v>
      </c>
      <c r="AB349" s="5" t="s">
        <v>377</v>
      </c>
      <c r="AC349" s="7" t="str" cm="1">
        <f t="array" ref="AC349">INDEX($B$10:$Y$25, INT((ROW(A340)-1)/24) + 1, MOD(ROW(A340)-1, 24) + 1)</f>
        <v>A8</v>
      </c>
      <c r="AD349" s="5">
        <v>1</v>
      </c>
      <c r="AE349" s="5" cm="1">
        <f t="array" ref="AE349">INDEX($B$29:$Y$44, INT((ROW(A340)-1)/24) + 1, MOD(ROW(A340)-1, 24) + 1)</f>
        <v>0.2340740740740741</v>
      </c>
      <c r="AF349" s="5" cm="1">
        <f t="array" ref="AF349">INDEX($B$48:$Y$63, INT((ROW(A340)-1)/24) + 1, MOD(ROW(A340)-1, 24) + 1)</f>
        <v>13100</v>
      </c>
    </row>
    <row r="350" spans="27:32" x14ac:dyDescent="0.2">
      <c r="AA350" s="5" t="s">
        <v>12</v>
      </c>
      <c r="AB350" s="5" t="s">
        <v>378</v>
      </c>
      <c r="AC350" s="7" t="str" cm="1">
        <f t="array" ref="AC350">INDEX($B$10:$Y$25, INT((ROW(A341)-1)/24) + 1, MOD(ROW(A341)-1, 24) + 1)</f>
        <v>A8</v>
      </c>
      <c r="AD350" s="5">
        <v>1</v>
      </c>
      <c r="AE350" s="5" cm="1">
        <f t="array" ref="AE350">INDEX($B$29:$Y$44, INT((ROW(A341)-1)/24) + 1, MOD(ROW(A341)-1, 24) + 1)</f>
        <v>7.80246913580247E-2</v>
      </c>
      <c r="AF350" s="5" cm="1">
        <f t="array" ref="AF350">INDEX($B$48:$Y$63, INT((ROW(A341)-1)/24) + 1, MOD(ROW(A341)-1, 24) + 1)</f>
        <v>19220</v>
      </c>
    </row>
    <row r="351" spans="27:32" x14ac:dyDescent="0.2">
      <c r="AA351" s="5" t="s">
        <v>12</v>
      </c>
      <c r="AB351" s="5" t="s">
        <v>379</v>
      </c>
      <c r="AC351" s="7" t="str" cm="1">
        <f t="array" ref="AC351">INDEX($B$10:$Y$25, INT((ROW(A342)-1)/24) + 1, MOD(ROW(A342)-1, 24) + 1)</f>
        <v>A8</v>
      </c>
      <c r="AD351" s="5">
        <v>1</v>
      </c>
      <c r="AE351" s="5" cm="1">
        <f t="array" ref="AE351">INDEX($B$29:$Y$44, INT((ROW(A342)-1)/24) + 1, MOD(ROW(A342)-1, 24) + 1)</f>
        <v>2.6008230452674901E-2</v>
      </c>
      <c r="AF351" s="5" cm="1">
        <f t="array" ref="AF351">INDEX($B$48:$Y$63, INT((ROW(A342)-1)/24) + 1, MOD(ROW(A342)-1, 24) + 1)</f>
        <v>23070</v>
      </c>
    </row>
    <row r="352" spans="27:32" x14ac:dyDescent="0.2">
      <c r="AA352" s="5" t="s">
        <v>12</v>
      </c>
      <c r="AB352" s="5" t="s">
        <v>380</v>
      </c>
      <c r="AC352" s="7" t="str" cm="1">
        <f t="array" ref="AC352">INDEX($B$10:$Y$25, INT((ROW(A343)-1)/24) + 1, MOD(ROW(A343)-1, 24) + 1)</f>
        <v>A8</v>
      </c>
      <c r="AD352" s="5">
        <v>1</v>
      </c>
      <c r="AE352" s="5" cm="1">
        <f t="array" ref="AE352">INDEX($B$29:$Y$44, INT((ROW(A343)-1)/24) + 1, MOD(ROW(A343)-1, 24) + 1)</f>
        <v>8.6694101508916332E-3</v>
      </c>
      <c r="AF352" s="5" cm="1">
        <f t="array" ref="AF352">INDEX($B$48:$Y$63, INT((ROW(A343)-1)/24) + 1, MOD(ROW(A343)-1, 24) + 1)</f>
        <v>36295</v>
      </c>
    </row>
    <row r="353" spans="27:32" x14ac:dyDescent="0.2">
      <c r="AA353" s="5" t="s">
        <v>12</v>
      </c>
      <c r="AB353" s="5" t="s">
        <v>381</v>
      </c>
      <c r="AC353" s="7" t="str" cm="1">
        <f t="array" ref="AC353">INDEX($B$10:$Y$25, INT((ROW(A344)-1)/24) + 1, MOD(ROW(A344)-1, 24) + 1)</f>
        <v>A8</v>
      </c>
      <c r="AD353" s="5">
        <v>1</v>
      </c>
      <c r="AE353" s="5" cm="1">
        <f t="array" ref="AE353">INDEX($B$29:$Y$44, INT((ROW(A344)-1)/24) + 1, MOD(ROW(A344)-1, 24) + 1)</f>
        <v>2.8898033836305442E-3</v>
      </c>
      <c r="AF353" s="5" cm="1">
        <f t="array" ref="AF353">INDEX($B$48:$Y$63, INT((ROW(A344)-1)/24) + 1, MOD(ROW(A344)-1, 24) + 1)</f>
        <v>56360</v>
      </c>
    </row>
    <row r="354" spans="27:32" x14ac:dyDescent="0.2">
      <c r="AA354" s="5" t="s">
        <v>12</v>
      </c>
      <c r="AB354" s="5" t="s">
        <v>382</v>
      </c>
      <c r="AC354" s="7" t="str" cm="1">
        <f t="array" ref="AC354">INDEX($B$10:$Y$25, INT((ROW(A345)-1)/24) + 1, MOD(ROW(A345)-1, 24) + 1)</f>
        <v>A8</v>
      </c>
      <c r="AD354" s="5">
        <v>1</v>
      </c>
      <c r="AE354" s="5" cm="1">
        <f t="array" ref="AE354">INDEX($B$29:$Y$44, INT((ROW(A345)-1)/24) + 1, MOD(ROW(A345)-1, 24) + 1)</f>
        <v>9.6326779454351471E-4</v>
      </c>
      <c r="AF354" s="5" cm="1">
        <f t="array" ref="AF354">INDEX($B$48:$Y$63, INT((ROW(A345)-1)/24) + 1, MOD(ROW(A345)-1, 24) + 1)</f>
        <v>84460</v>
      </c>
    </row>
    <row r="355" spans="27:32" x14ac:dyDescent="0.2">
      <c r="AA355" s="5" t="s">
        <v>12</v>
      </c>
      <c r="AB355" s="5" t="s">
        <v>383</v>
      </c>
      <c r="AC355" s="7" t="str" cm="1">
        <f t="array" ref="AC355">INDEX($B$10:$Y$25, INT((ROW(A346)-1)/24) + 1, MOD(ROW(A346)-1, 24) + 1)</f>
        <v>A8</v>
      </c>
      <c r="AD355" s="5">
        <v>1</v>
      </c>
      <c r="AE355" s="5" cm="1">
        <f t="array" ref="AE355">INDEX($B$29:$Y$44, INT((ROW(A346)-1)/24) + 1, MOD(ROW(A346)-1, 24) + 1)</f>
        <v>3.2108926484783826E-4</v>
      </c>
      <c r="AF355" s="5" cm="1">
        <f t="array" ref="AF355">INDEX($B$48:$Y$63, INT((ROW(A346)-1)/24) + 1, MOD(ROW(A346)-1, 24) + 1)</f>
        <v>98660</v>
      </c>
    </row>
    <row r="356" spans="27:32" x14ac:dyDescent="0.2">
      <c r="AA356" s="5" t="s">
        <v>12</v>
      </c>
      <c r="AB356" s="5" t="s">
        <v>384</v>
      </c>
      <c r="AC356" s="7" t="str" cm="1">
        <f t="array" ref="AC356">INDEX($B$10:$Y$25, INT((ROW(A347)-1)/24) + 1, MOD(ROW(A347)-1, 24) + 1)</f>
        <v>A8</v>
      </c>
      <c r="AD356" s="5">
        <v>1</v>
      </c>
      <c r="AE356" s="5" cm="1">
        <f t="array" ref="AE356">INDEX($B$29:$Y$44, INT((ROW(A347)-1)/24) + 1, MOD(ROW(A347)-1, 24) + 1)</f>
        <v>1.0702975494927942E-4</v>
      </c>
      <c r="AF356" s="5" cm="1">
        <f t="array" ref="AF356">INDEX($B$48:$Y$63, INT((ROW(A347)-1)/24) + 1, MOD(ROW(A347)-1, 24) + 1)</f>
        <v>117005</v>
      </c>
    </row>
    <row r="357" spans="27:32" x14ac:dyDescent="0.2">
      <c r="AA357" s="5" t="s">
        <v>12</v>
      </c>
      <c r="AB357" s="5" t="s">
        <v>385</v>
      </c>
      <c r="AC357" s="7"/>
      <c r="AD357" s="5"/>
      <c r="AE357" s="5" cm="1">
        <f t="array" ref="AE357">INDEX($B$29:$Y$44, INT((ROW(A348)-1)/24) + 1, MOD(ROW(A348)-1, 24) + 1)</f>
        <v>0</v>
      </c>
      <c r="AF357" s="5" cm="1">
        <f t="array" ref="AF357">INDEX($B$48:$Y$63, INT((ROW(A348)-1)/24) + 1, MOD(ROW(A348)-1, 24) + 1)</f>
        <v>685</v>
      </c>
    </row>
    <row r="358" spans="27:32" x14ac:dyDescent="0.2">
      <c r="AA358" s="5" t="s">
        <v>12</v>
      </c>
      <c r="AB358" s="5" t="s">
        <v>386</v>
      </c>
      <c r="AC358" s="7" t="str" cm="1">
        <f t="array" ref="AC358">INDEX($B$10:$Y$25, INT((ROW(A349)-1)/24) + 1, MOD(ROW(A349)-1, 24) + 1)</f>
        <v>B11</v>
      </c>
      <c r="AD358" s="5">
        <v>1</v>
      </c>
      <c r="AE358" s="5" cm="1">
        <f t="array" ref="AE358">INDEX($B$29:$Y$44, INT((ROW(A349)-1)/24) + 1, MOD(ROW(A349)-1, 24) + 1)</f>
        <v>0.54</v>
      </c>
      <c r="AF358" s="5" cm="1">
        <f t="array" ref="AF358">INDEX($B$48:$Y$63, INT((ROW(A349)-1)/24) + 1, MOD(ROW(A349)-1, 24) + 1)</f>
        <v>6275</v>
      </c>
    </row>
    <row r="359" spans="27:32" x14ac:dyDescent="0.2">
      <c r="AA359" s="5" t="s">
        <v>12</v>
      </c>
      <c r="AB359" s="5" t="s">
        <v>387</v>
      </c>
      <c r="AC359" s="7" t="str" cm="1">
        <f t="array" ref="AC359">INDEX($B$10:$Y$25, INT((ROW(A350)-1)/24) + 1, MOD(ROW(A350)-1, 24) + 1)</f>
        <v>B11</v>
      </c>
      <c r="AD359" s="5">
        <v>1</v>
      </c>
      <c r="AE359" s="5" cm="1">
        <f t="array" ref="AE359">INDEX($B$29:$Y$44, INT((ROW(A350)-1)/24) + 1, MOD(ROW(A350)-1, 24) + 1)</f>
        <v>0.18000000000000002</v>
      </c>
      <c r="AF359" s="5" cm="1">
        <f t="array" ref="AF359">INDEX($B$48:$Y$63, INT((ROW(A350)-1)/24) + 1, MOD(ROW(A350)-1, 24) + 1)</f>
        <v>65360</v>
      </c>
    </row>
    <row r="360" spans="27:32" x14ac:dyDescent="0.2">
      <c r="AA360" s="5" t="s">
        <v>12</v>
      </c>
      <c r="AB360" s="5" t="s">
        <v>388</v>
      </c>
      <c r="AC360" s="7" t="str" cm="1">
        <f t="array" ref="AC360">INDEX($B$10:$Y$25, INT((ROW(A351)-1)/24) + 1, MOD(ROW(A351)-1, 24) + 1)</f>
        <v>B11</v>
      </c>
      <c r="AD360" s="5">
        <v>1</v>
      </c>
      <c r="AE360" s="5" cm="1">
        <f t="array" ref="AE360">INDEX($B$29:$Y$44, INT((ROW(A351)-1)/24) + 1, MOD(ROW(A351)-1, 24) + 1)</f>
        <v>6.0000000000000005E-2</v>
      </c>
      <c r="AF360" s="5" cm="1">
        <f t="array" ref="AF360">INDEX($B$48:$Y$63, INT((ROW(A351)-1)/24) + 1, MOD(ROW(A351)-1, 24) + 1)</f>
        <v>84495</v>
      </c>
    </row>
    <row r="361" spans="27:32" x14ac:dyDescent="0.2">
      <c r="AA361" s="5" t="s">
        <v>12</v>
      </c>
      <c r="AB361" s="5" t="s">
        <v>389</v>
      </c>
      <c r="AC361" s="7" t="str" cm="1">
        <f t="array" ref="AC361">INDEX($B$10:$Y$25, INT((ROW(A352)-1)/24) + 1, MOD(ROW(A352)-1, 24) + 1)</f>
        <v>B11</v>
      </c>
      <c r="AD361" s="5">
        <v>1</v>
      </c>
      <c r="AE361" s="5" cm="1">
        <f t="array" ref="AE361">INDEX($B$29:$Y$44, INT((ROW(A352)-1)/24) + 1, MOD(ROW(A352)-1, 24) + 1)</f>
        <v>0.02</v>
      </c>
      <c r="AF361" s="5" cm="1">
        <f t="array" ref="AF361">INDEX($B$48:$Y$63, INT((ROW(A352)-1)/24) + 1, MOD(ROW(A352)-1, 24) + 1)</f>
        <v>93020</v>
      </c>
    </row>
    <row r="362" spans="27:32" x14ac:dyDescent="0.2">
      <c r="AA362" s="5" t="s">
        <v>12</v>
      </c>
      <c r="AB362" s="5" t="s">
        <v>390</v>
      </c>
      <c r="AC362" s="7" t="str" cm="1">
        <f t="array" ref="AC362">INDEX($B$10:$Y$25, INT((ROW(A353)-1)/24) + 1, MOD(ROW(A353)-1, 24) + 1)</f>
        <v>B11</v>
      </c>
      <c r="AD362" s="5">
        <v>1</v>
      </c>
      <c r="AE362" s="5" cm="1">
        <f t="array" ref="AE362">INDEX($B$29:$Y$44, INT((ROW(A353)-1)/24) + 1, MOD(ROW(A353)-1, 24) + 1)</f>
        <v>6.6666666666666671E-3</v>
      </c>
      <c r="AF362" s="5" cm="1">
        <f t="array" ref="AF362">INDEX($B$48:$Y$63, INT((ROW(A353)-1)/24) + 1, MOD(ROW(A353)-1, 24) + 1)</f>
        <v>118230</v>
      </c>
    </row>
    <row r="363" spans="27:32" x14ac:dyDescent="0.2">
      <c r="AA363" s="5" t="s">
        <v>12</v>
      </c>
      <c r="AB363" s="5" t="s">
        <v>391</v>
      </c>
      <c r="AC363" s="7" t="str" cm="1">
        <f t="array" ref="AC363">INDEX($B$10:$Y$25, INT((ROW(A354)-1)/24) + 1, MOD(ROW(A354)-1, 24) + 1)</f>
        <v>B11</v>
      </c>
      <c r="AD363" s="5">
        <v>1</v>
      </c>
      <c r="AE363" s="5" cm="1">
        <f t="array" ref="AE363">INDEX($B$29:$Y$44, INT((ROW(A354)-1)/24) + 1, MOD(ROW(A354)-1, 24) + 1)</f>
        <v>2.2222222222222222E-3</v>
      </c>
      <c r="AF363" s="5" cm="1">
        <f t="array" ref="AF363">INDEX($B$48:$Y$63, INT((ROW(A354)-1)/24) + 1, MOD(ROW(A354)-1, 24) + 1)</f>
        <v>116385</v>
      </c>
    </row>
    <row r="364" spans="27:32" x14ac:dyDescent="0.2">
      <c r="AA364" s="5" t="s">
        <v>12</v>
      </c>
      <c r="AB364" s="5" t="s">
        <v>392</v>
      </c>
      <c r="AC364" s="7" t="str" cm="1">
        <f t="array" ref="AC364">INDEX($B$10:$Y$25, INT((ROW(A355)-1)/24) + 1, MOD(ROW(A355)-1, 24) + 1)</f>
        <v>B11</v>
      </c>
      <c r="AD364" s="5">
        <v>1</v>
      </c>
      <c r="AE364" s="5" cm="1">
        <f t="array" ref="AE364">INDEX($B$29:$Y$44, INT((ROW(A355)-1)/24) + 1, MOD(ROW(A355)-1, 24) + 1)</f>
        <v>7.407407407407407E-4</v>
      </c>
      <c r="AF364" s="5" cm="1">
        <f t="array" ref="AF364">INDEX($B$48:$Y$63, INT((ROW(A355)-1)/24) + 1, MOD(ROW(A355)-1, 24) + 1)</f>
        <v>124280</v>
      </c>
    </row>
    <row r="365" spans="27:32" x14ac:dyDescent="0.2">
      <c r="AA365" s="5" t="s">
        <v>12</v>
      </c>
      <c r="AB365" s="5" t="s">
        <v>393</v>
      </c>
      <c r="AC365" s="7" t="str" cm="1">
        <f t="array" ref="AC365">INDEX($B$10:$Y$25, INT((ROW(A356)-1)/24) + 1, MOD(ROW(A356)-1, 24) + 1)</f>
        <v>B11</v>
      </c>
      <c r="AD365" s="5">
        <v>1</v>
      </c>
      <c r="AE365" s="5" cm="1">
        <f t="array" ref="AE365">INDEX($B$29:$Y$44, INT((ROW(A356)-1)/24) + 1, MOD(ROW(A356)-1, 24) + 1)</f>
        <v>2.4691358024691359E-4</v>
      </c>
      <c r="AF365" s="5" cm="1">
        <f t="array" ref="AF365">INDEX($B$48:$Y$63, INT((ROW(A356)-1)/24) + 1, MOD(ROW(A356)-1, 24) + 1)</f>
        <v>137640</v>
      </c>
    </row>
    <row r="366" spans="27:32" x14ac:dyDescent="0.2">
      <c r="AA366" s="5" t="s">
        <v>12</v>
      </c>
      <c r="AB366" s="5" t="s">
        <v>394</v>
      </c>
      <c r="AC366" s="7" t="str" cm="1">
        <f t="array" ref="AC366">INDEX($B$10:$Y$25, INT((ROW(A357)-1)/24) + 1, MOD(ROW(A357)-1, 24) + 1)</f>
        <v>B11</v>
      </c>
      <c r="AD366" s="5">
        <v>1</v>
      </c>
      <c r="AE366" s="5" cm="1">
        <f t="array" ref="AE366">INDEX($B$29:$Y$44, INT((ROW(A357)-1)/24) + 1, MOD(ROW(A357)-1, 24) + 1)</f>
        <v>8.23045267489712E-5</v>
      </c>
      <c r="AF366" s="5" cm="1">
        <f t="array" ref="AF366">INDEX($B$48:$Y$63, INT((ROW(A357)-1)/24) + 1, MOD(ROW(A357)-1, 24) + 1)</f>
        <v>133805</v>
      </c>
    </row>
    <row r="367" spans="27:32" x14ac:dyDescent="0.2">
      <c r="AA367" s="5" t="s">
        <v>12</v>
      </c>
      <c r="AB367" s="5" t="s">
        <v>395</v>
      </c>
      <c r="AC367" s="7" t="str" cm="1">
        <f t="array" ref="AC367">INDEX($B$10:$Y$25, INT((ROW(A358)-1)/24) + 1, MOD(ROW(A358)-1, 24) + 1)</f>
        <v>B11</v>
      </c>
      <c r="AD367" s="5">
        <v>1</v>
      </c>
      <c r="AE367" s="5" cm="1">
        <f t="array" ref="AE367">INDEX($B$29:$Y$44, INT((ROW(A358)-1)/24) + 1, MOD(ROW(A358)-1, 24) + 1)</f>
        <v>2.7434842249657068E-5</v>
      </c>
      <c r="AF367" s="5" cm="1">
        <f t="array" ref="AF367">INDEX($B$48:$Y$63, INT((ROW(A358)-1)/24) + 1, MOD(ROW(A358)-1, 24) + 1)</f>
        <v>126895</v>
      </c>
    </row>
    <row r="368" spans="27:32" x14ac:dyDescent="0.2">
      <c r="AA368" s="5" t="s">
        <v>12</v>
      </c>
      <c r="AB368" s="5" t="s">
        <v>396</v>
      </c>
      <c r="AC368" s="7" t="str" cm="1">
        <f t="array" ref="AC368">INDEX($B$10:$Y$25, INT((ROW(A359)-1)/24) + 1, MOD(ROW(A359)-1, 24) + 1)</f>
        <v>B11</v>
      </c>
      <c r="AD368" s="5">
        <v>1</v>
      </c>
      <c r="AE368" s="5" cm="1">
        <f t="array" ref="AE368">INDEX($B$29:$Y$44, INT((ROW(A359)-1)/24) + 1, MOD(ROW(A359)-1, 24) + 1)</f>
        <v>9.1449474165523565E-6</v>
      </c>
      <c r="AF368" s="5" cm="1">
        <f t="array" ref="AF368">INDEX($B$48:$Y$63, INT((ROW(A359)-1)/24) + 1, MOD(ROW(A359)-1, 24) + 1)</f>
        <v>134965</v>
      </c>
    </row>
    <row r="369" spans="27:32" x14ac:dyDescent="0.2">
      <c r="AA369" s="5" t="s">
        <v>12</v>
      </c>
      <c r="AB369" s="5" t="s">
        <v>397</v>
      </c>
      <c r="AC369" s="7"/>
      <c r="AD369" s="5"/>
      <c r="AE369" s="5" cm="1">
        <f t="array" ref="AE369">INDEX($B$29:$Y$44, INT((ROW(A360)-1)/24) + 1, MOD(ROW(A360)-1, 24) + 1)</f>
        <v>0</v>
      </c>
      <c r="AF369" s="5" cm="1">
        <f t="array" ref="AF369">INDEX($B$48:$Y$63, INT((ROW(A360)-1)/24) + 1, MOD(ROW(A360)-1, 24) + 1)</f>
        <v>630</v>
      </c>
    </row>
    <row r="370" spans="27:32" x14ac:dyDescent="0.2">
      <c r="AA370" s="5" t="s">
        <v>12</v>
      </c>
      <c r="AB370" s="5" t="s">
        <v>398</v>
      </c>
      <c r="AC370" s="7" t="str" cm="1">
        <f t="array" ref="AC370">INDEX($B$10:$Y$25, INT((ROW(A361)-1)/24) + 1, MOD(ROW(A361)-1, 24) + 1)</f>
        <v>A8</v>
      </c>
      <c r="AD370" s="5">
        <v>1</v>
      </c>
      <c r="AE370" s="5" cm="1">
        <f t="array" ref="AE370">INDEX($B$29:$Y$44, INT((ROW(A361)-1)/24) + 1, MOD(ROW(A361)-1, 24) + 1)</f>
        <v>6.32</v>
      </c>
      <c r="AF370" s="5" cm="1">
        <f t="array" ref="AF370">INDEX($B$48:$Y$63, INT((ROW(A361)-1)/24) + 1, MOD(ROW(A361)-1, 24) + 1)</f>
        <v>920</v>
      </c>
    </row>
    <row r="371" spans="27:32" x14ac:dyDescent="0.2">
      <c r="AA371" s="5" t="s">
        <v>12</v>
      </c>
      <c r="AB371" s="5" t="s">
        <v>399</v>
      </c>
      <c r="AC371" s="7" t="str" cm="1">
        <f t="array" ref="AC371">INDEX($B$10:$Y$25, INT((ROW(A362)-1)/24) + 1, MOD(ROW(A362)-1, 24) + 1)</f>
        <v>A8</v>
      </c>
      <c r="AD371" s="5">
        <v>1</v>
      </c>
      <c r="AE371" s="5" cm="1">
        <f t="array" ref="AE371">INDEX($B$29:$Y$44, INT((ROW(A362)-1)/24) + 1, MOD(ROW(A362)-1, 24) + 1)</f>
        <v>2.1066666666666669</v>
      </c>
      <c r="AF371" s="5" cm="1">
        <f t="array" ref="AF371">INDEX($B$48:$Y$63, INT((ROW(A362)-1)/24) + 1, MOD(ROW(A362)-1, 24) + 1)</f>
        <v>3190</v>
      </c>
    </row>
    <row r="372" spans="27:32" x14ac:dyDescent="0.2">
      <c r="AA372" s="5" t="s">
        <v>12</v>
      </c>
      <c r="AB372" s="5" t="s">
        <v>400</v>
      </c>
      <c r="AC372" s="7" t="str" cm="1">
        <f t="array" ref="AC372">INDEX($B$10:$Y$25, INT((ROW(A363)-1)/24) + 1, MOD(ROW(A363)-1, 24) + 1)</f>
        <v>A8</v>
      </c>
      <c r="AD372" s="5">
        <v>1</v>
      </c>
      <c r="AE372" s="5" cm="1">
        <f t="array" ref="AE372">INDEX($B$29:$Y$44, INT((ROW(A363)-1)/24) + 1, MOD(ROW(A363)-1, 24) + 1)</f>
        <v>0.7022222222222223</v>
      </c>
      <c r="AF372" s="5" cm="1">
        <f t="array" ref="AF372">INDEX($B$48:$Y$63, INT((ROW(A363)-1)/24) + 1, MOD(ROW(A363)-1, 24) + 1)</f>
        <v>5105</v>
      </c>
    </row>
    <row r="373" spans="27:32" x14ac:dyDescent="0.2">
      <c r="AA373" s="5" t="s">
        <v>12</v>
      </c>
      <c r="AB373" s="5" t="s">
        <v>401</v>
      </c>
      <c r="AC373" s="7" t="str" cm="1">
        <f t="array" ref="AC373">INDEX($B$10:$Y$25, INT((ROW(A364)-1)/24) + 1, MOD(ROW(A364)-1, 24) + 1)</f>
        <v>A8</v>
      </c>
      <c r="AD373" s="5">
        <v>1</v>
      </c>
      <c r="AE373" s="5" cm="1">
        <f t="array" ref="AE373">INDEX($B$29:$Y$44, INT((ROW(A364)-1)/24) + 1, MOD(ROW(A364)-1, 24) + 1)</f>
        <v>0.2340740740740741</v>
      </c>
      <c r="AF373" s="5" cm="1">
        <f t="array" ref="AF373">INDEX($B$48:$Y$63, INT((ROW(A364)-1)/24) + 1, MOD(ROW(A364)-1, 24) + 1)</f>
        <v>10410</v>
      </c>
    </row>
    <row r="374" spans="27:32" x14ac:dyDescent="0.2">
      <c r="AA374" s="5" t="s">
        <v>12</v>
      </c>
      <c r="AB374" s="5" t="s">
        <v>402</v>
      </c>
      <c r="AC374" s="7" t="str" cm="1">
        <f t="array" ref="AC374">INDEX($B$10:$Y$25, INT((ROW(A365)-1)/24) + 1, MOD(ROW(A365)-1, 24) + 1)</f>
        <v>A8</v>
      </c>
      <c r="AD374" s="5">
        <v>1</v>
      </c>
      <c r="AE374" s="5" cm="1">
        <f t="array" ref="AE374">INDEX($B$29:$Y$44, INT((ROW(A365)-1)/24) + 1, MOD(ROW(A365)-1, 24) + 1)</f>
        <v>7.80246913580247E-2</v>
      </c>
      <c r="AF374" s="5" cm="1">
        <f t="array" ref="AF374">INDEX($B$48:$Y$63, INT((ROW(A365)-1)/24) + 1, MOD(ROW(A365)-1, 24) + 1)</f>
        <v>19890</v>
      </c>
    </row>
    <row r="375" spans="27:32" x14ac:dyDescent="0.2">
      <c r="AA375" s="5" t="s">
        <v>12</v>
      </c>
      <c r="AB375" s="5" t="s">
        <v>403</v>
      </c>
      <c r="AC375" s="7" t="str" cm="1">
        <f t="array" ref="AC375">INDEX($B$10:$Y$25, INT((ROW(A366)-1)/24) + 1, MOD(ROW(A366)-1, 24) + 1)</f>
        <v>A8</v>
      </c>
      <c r="AD375" s="5">
        <v>1</v>
      </c>
      <c r="AE375" s="5" cm="1">
        <f t="array" ref="AE375">INDEX($B$29:$Y$44, INT((ROW(A366)-1)/24) + 1, MOD(ROW(A366)-1, 24) + 1)</f>
        <v>2.6008230452674901E-2</v>
      </c>
      <c r="AF375" s="5" cm="1">
        <f t="array" ref="AF375">INDEX($B$48:$Y$63, INT((ROW(A366)-1)/24) + 1, MOD(ROW(A366)-1, 24) + 1)</f>
        <v>23915</v>
      </c>
    </row>
    <row r="376" spans="27:32" x14ac:dyDescent="0.2">
      <c r="AA376" s="5" t="s">
        <v>12</v>
      </c>
      <c r="AB376" s="5" t="s">
        <v>404</v>
      </c>
      <c r="AC376" s="7" t="str" cm="1">
        <f t="array" ref="AC376">INDEX($B$10:$Y$25, INT((ROW(A367)-1)/24) + 1, MOD(ROW(A367)-1, 24) + 1)</f>
        <v>A8</v>
      </c>
      <c r="AD376" s="5">
        <v>1</v>
      </c>
      <c r="AE376" s="5" cm="1">
        <f t="array" ref="AE376">INDEX($B$29:$Y$44, INT((ROW(A367)-1)/24) + 1, MOD(ROW(A367)-1, 24) + 1)</f>
        <v>8.6694101508916332E-3</v>
      </c>
      <c r="AF376" s="5" cm="1">
        <f t="array" ref="AF376">INDEX($B$48:$Y$63, INT((ROW(A367)-1)/24) + 1, MOD(ROW(A367)-1, 24) + 1)</f>
        <v>28560</v>
      </c>
    </row>
    <row r="377" spans="27:32" x14ac:dyDescent="0.2">
      <c r="AA377" s="5" t="s">
        <v>12</v>
      </c>
      <c r="AB377" s="5" t="s">
        <v>405</v>
      </c>
      <c r="AC377" s="7" t="str" cm="1">
        <f t="array" ref="AC377">INDEX($B$10:$Y$25, INT((ROW(A368)-1)/24) + 1, MOD(ROW(A368)-1, 24) + 1)</f>
        <v>A8</v>
      </c>
      <c r="AD377" s="5">
        <v>1</v>
      </c>
      <c r="AE377" s="5" cm="1">
        <f t="array" ref="AE377">INDEX($B$29:$Y$44, INT((ROW(A368)-1)/24) + 1, MOD(ROW(A368)-1, 24) + 1)</f>
        <v>2.8898033836305442E-3</v>
      </c>
      <c r="AF377" s="5" cm="1">
        <f t="array" ref="AF377">INDEX($B$48:$Y$63, INT((ROW(A368)-1)/24) + 1, MOD(ROW(A368)-1, 24) + 1)</f>
        <v>39585</v>
      </c>
    </row>
    <row r="378" spans="27:32" x14ac:dyDescent="0.2">
      <c r="AA378" s="5" t="s">
        <v>12</v>
      </c>
      <c r="AB378" s="5" t="s">
        <v>406</v>
      </c>
      <c r="AC378" s="7" t="str" cm="1">
        <f t="array" ref="AC378">INDEX($B$10:$Y$25, INT((ROW(A369)-1)/24) + 1, MOD(ROW(A369)-1, 24) + 1)</f>
        <v>A8</v>
      </c>
      <c r="AD378" s="5">
        <v>1</v>
      </c>
      <c r="AE378" s="5" cm="1">
        <f t="array" ref="AE378">INDEX($B$29:$Y$44, INT((ROW(A369)-1)/24) + 1, MOD(ROW(A369)-1, 24) + 1)</f>
        <v>9.6326779454351471E-4</v>
      </c>
      <c r="AF378" s="5" cm="1">
        <f t="array" ref="AF378">INDEX($B$48:$Y$63, INT((ROW(A369)-1)/24) + 1, MOD(ROW(A369)-1, 24) + 1)</f>
        <v>43085</v>
      </c>
    </row>
    <row r="379" spans="27:32" x14ac:dyDescent="0.2">
      <c r="AA379" s="5" t="s">
        <v>12</v>
      </c>
      <c r="AB379" s="5" t="s">
        <v>407</v>
      </c>
      <c r="AC379" s="7" t="str" cm="1">
        <f t="array" ref="AC379">INDEX($B$10:$Y$25, INT((ROW(A370)-1)/24) + 1, MOD(ROW(A370)-1, 24) + 1)</f>
        <v>A8</v>
      </c>
      <c r="AD379" s="5">
        <v>1</v>
      </c>
      <c r="AE379" s="5" cm="1">
        <f t="array" ref="AE379">INDEX($B$29:$Y$44, INT((ROW(A370)-1)/24) + 1, MOD(ROW(A370)-1, 24) + 1)</f>
        <v>3.2108926484783826E-4</v>
      </c>
      <c r="AF379" s="5" cm="1">
        <f t="array" ref="AF379">INDEX($B$48:$Y$63, INT((ROW(A370)-1)/24) + 1, MOD(ROW(A370)-1, 24) + 1)</f>
        <v>64015</v>
      </c>
    </row>
    <row r="380" spans="27:32" x14ac:dyDescent="0.2">
      <c r="AA380" s="5" t="s">
        <v>12</v>
      </c>
      <c r="AB380" s="5" t="s">
        <v>408</v>
      </c>
      <c r="AC380" s="7" t="str" cm="1">
        <f t="array" ref="AC380">INDEX($B$10:$Y$25, INT((ROW(A371)-1)/24) + 1, MOD(ROW(A371)-1, 24) + 1)</f>
        <v>A8</v>
      </c>
      <c r="AD380" s="5">
        <v>1</v>
      </c>
      <c r="AE380" s="5" cm="1">
        <f t="array" ref="AE380">INDEX($B$29:$Y$44, INT((ROW(A371)-1)/24) + 1, MOD(ROW(A371)-1, 24) + 1)</f>
        <v>1.0702975494927942E-4</v>
      </c>
      <c r="AF380" s="5" cm="1">
        <f t="array" ref="AF380">INDEX($B$48:$Y$63, INT((ROW(A371)-1)/24) + 1, MOD(ROW(A371)-1, 24) + 1)</f>
        <v>71525</v>
      </c>
    </row>
    <row r="381" spans="27:32" x14ac:dyDescent="0.2">
      <c r="AA381" s="5" t="s">
        <v>12</v>
      </c>
      <c r="AB381" s="5" t="s">
        <v>409</v>
      </c>
      <c r="AC381" s="7"/>
      <c r="AD381" s="5"/>
      <c r="AE381" s="5" cm="1">
        <f t="array" ref="AE381">INDEX($B$29:$Y$44, INT((ROW(A372)-1)/24) + 1, MOD(ROW(A372)-1, 24) + 1)</f>
        <v>0</v>
      </c>
      <c r="AF381" s="5" cm="1">
        <f t="array" ref="AF381">INDEX($B$48:$Y$63, INT((ROW(A372)-1)/24) + 1, MOD(ROW(A372)-1, 24) + 1)</f>
        <v>625</v>
      </c>
    </row>
    <row r="382" spans="27:32" x14ac:dyDescent="0.2">
      <c r="AA382" s="5" t="s">
        <v>12</v>
      </c>
      <c r="AB382" s="5" t="s">
        <v>410</v>
      </c>
      <c r="AC382" s="7" t="str" cm="1">
        <f t="array" ref="AC382">INDEX($B$10:$Y$25, INT((ROW(A373)-1)/24) + 1, MOD(ROW(A373)-1, 24) + 1)</f>
        <v>B11</v>
      </c>
      <c r="AD382" s="5">
        <v>1</v>
      </c>
      <c r="AE382" s="5" cm="1">
        <f t="array" ref="AE382">INDEX($B$29:$Y$44, INT((ROW(A373)-1)/24) + 1, MOD(ROW(A373)-1, 24) + 1)</f>
        <v>0.54</v>
      </c>
      <c r="AF382" s="5" cm="1">
        <f t="array" ref="AF382">INDEX($B$48:$Y$63, INT((ROW(A373)-1)/24) + 1, MOD(ROW(A373)-1, 24) + 1)</f>
        <v>9715</v>
      </c>
    </row>
    <row r="383" spans="27:32" x14ac:dyDescent="0.2">
      <c r="AA383" s="5" t="s">
        <v>12</v>
      </c>
      <c r="AB383" s="5" t="s">
        <v>411</v>
      </c>
      <c r="AC383" s="7" t="str" cm="1">
        <f t="array" ref="AC383">INDEX($B$10:$Y$25, INT((ROW(A374)-1)/24) + 1, MOD(ROW(A374)-1, 24) + 1)</f>
        <v>B11</v>
      </c>
      <c r="AD383" s="5">
        <v>1</v>
      </c>
      <c r="AE383" s="5" cm="1">
        <f t="array" ref="AE383">INDEX($B$29:$Y$44, INT((ROW(A374)-1)/24) + 1, MOD(ROW(A374)-1, 24) + 1)</f>
        <v>0.18000000000000002</v>
      </c>
      <c r="AF383" s="5" cm="1">
        <f t="array" ref="AF383">INDEX($B$48:$Y$63, INT((ROW(A374)-1)/24) + 1, MOD(ROW(A374)-1, 24) + 1)</f>
        <v>55875</v>
      </c>
    </row>
    <row r="384" spans="27:32" x14ac:dyDescent="0.2">
      <c r="AA384" s="5" t="s">
        <v>12</v>
      </c>
      <c r="AB384" s="5" t="s">
        <v>412</v>
      </c>
      <c r="AC384" s="7" t="str" cm="1">
        <f t="array" ref="AC384">INDEX($B$10:$Y$25, INT((ROW(A375)-1)/24) + 1, MOD(ROW(A375)-1, 24) + 1)</f>
        <v>B11</v>
      </c>
      <c r="AD384" s="5">
        <v>1</v>
      </c>
      <c r="AE384" s="5" cm="1">
        <f t="array" ref="AE384">INDEX($B$29:$Y$44, INT((ROW(A375)-1)/24) + 1, MOD(ROW(A375)-1, 24) + 1)</f>
        <v>6.0000000000000005E-2</v>
      </c>
      <c r="AF384" s="5" cm="1">
        <f t="array" ref="AF384">INDEX($B$48:$Y$63, INT((ROW(A375)-1)/24) + 1, MOD(ROW(A375)-1, 24) + 1)</f>
        <v>83745</v>
      </c>
    </row>
    <row r="385" spans="27:32" x14ac:dyDescent="0.2">
      <c r="AA385" s="5" t="s">
        <v>12</v>
      </c>
      <c r="AB385" s="5" t="s">
        <v>413</v>
      </c>
      <c r="AC385" s="7" t="str" cm="1">
        <f t="array" ref="AC385">INDEX($B$10:$Y$25, INT((ROW(A376)-1)/24) + 1, MOD(ROW(A376)-1, 24) + 1)</f>
        <v>B11</v>
      </c>
      <c r="AD385" s="5">
        <v>1</v>
      </c>
      <c r="AE385" s="5" cm="1">
        <f t="array" ref="AE385">INDEX($B$29:$Y$44, INT((ROW(A376)-1)/24) + 1, MOD(ROW(A376)-1, 24) + 1)</f>
        <v>0.02</v>
      </c>
      <c r="AF385" s="5" cm="1">
        <f t="array" ref="AF385">INDEX($B$48:$Y$63, INT((ROW(A376)-1)/24) + 1, MOD(ROW(A376)-1, 24) + 1)</f>
        <v>104955</v>
      </c>
    </row>
    <row r="386" spans="27:32" x14ac:dyDescent="0.2">
      <c r="AA386" s="5" t="s">
        <v>12</v>
      </c>
      <c r="AB386" s="5" t="s">
        <v>414</v>
      </c>
      <c r="AC386" s="7" t="str" cm="1">
        <f t="array" ref="AC386">INDEX($B$10:$Y$25, INT((ROW(A377)-1)/24) + 1, MOD(ROW(A377)-1, 24) + 1)</f>
        <v>B11</v>
      </c>
      <c r="AD386" s="5">
        <v>1</v>
      </c>
      <c r="AE386" s="5" cm="1">
        <f t="array" ref="AE386">INDEX($B$29:$Y$44, INT((ROW(A377)-1)/24) + 1, MOD(ROW(A377)-1, 24) + 1)</f>
        <v>6.6666666666666671E-3</v>
      </c>
      <c r="AF386" s="5" cm="1">
        <f t="array" ref="AF386">INDEX($B$48:$Y$63, INT((ROW(A377)-1)/24) + 1, MOD(ROW(A377)-1, 24) + 1)</f>
        <v>110710</v>
      </c>
    </row>
    <row r="387" spans="27:32" x14ac:dyDescent="0.2">
      <c r="AA387" s="5" t="s">
        <v>12</v>
      </c>
      <c r="AB387" s="5" t="s">
        <v>415</v>
      </c>
      <c r="AC387" s="7" t="str" cm="1">
        <f t="array" ref="AC387">INDEX($B$10:$Y$25, INT((ROW(A378)-1)/24) + 1, MOD(ROW(A378)-1, 24) + 1)</f>
        <v>B11</v>
      </c>
      <c r="AD387" s="5">
        <v>1</v>
      </c>
      <c r="AE387" s="5" cm="1">
        <f t="array" ref="AE387">INDEX($B$29:$Y$44, INT((ROW(A378)-1)/24) + 1, MOD(ROW(A378)-1, 24) + 1)</f>
        <v>2.2222222222222222E-3</v>
      </c>
      <c r="AF387" s="5" cm="1">
        <f t="array" ref="AF387">INDEX($B$48:$Y$63, INT((ROW(A378)-1)/24) + 1, MOD(ROW(A378)-1, 24) + 1)</f>
        <v>120765</v>
      </c>
    </row>
    <row r="388" spans="27:32" x14ac:dyDescent="0.2">
      <c r="AA388" s="5" t="s">
        <v>12</v>
      </c>
      <c r="AB388" s="5" t="s">
        <v>416</v>
      </c>
      <c r="AC388" s="7" t="str" cm="1">
        <f t="array" ref="AC388">INDEX($B$10:$Y$25, INT((ROW(A379)-1)/24) + 1, MOD(ROW(A379)-1, 24) + 1)</f>
        <v>B11</v>
      </c>
      <c r="AD388" s="5">
        <v>1</v>
      </c>
      <c r="AE388" s="5" cm="1">
        <f t="array" ref="AE388">INDEX($B$29:$Y$44, INT((ROW(A379)-1)/24) + 1, MOD(ROW(A379)-1, 24) + 1)</f>
        <v>7.407407407407407E-4</v>
      </c>
      <c r="AF388" s="5" cm="1">
        <f t="array" ref="AF388">INDEX($B$48:$Y$63, INT((ROW(A379)-1)/24) + 1, MOD(ROW(A379)-1, 24) + 1)</f>
        <v>119150</v>
      </c>
    </row>
    <row r="389" spans="27:32" x14ac:dyDescent="0.2">
      <c r="AA389" s="5" t="s">
        <v>12</v>
      </c>
      <c r="AB389" s="5" t="s">
        <v>417</v>
      </c>
      <c r="AC389" s="7" t="str" cm="1">
        <f t="array" ref="AC389">INDEX($B$10:$Y$25, INT((ROW(A380)-1)/24) + 1, MOD(ROW(A380)-1, 24) + 1)</f>
        <v>B11</v>
      </c>
      <c r="AD389" s="5">
        <v>1</v>
      </c>
      <c r="AE389" s="5" cm="1">
        <f t="array" ref="AE389">INDEX($B$29:$Y$44, INT((ROW(A380)-1)/24) + 1, MOD(ROW(A380)-1, 24) + 1)</f>
        <v>2.4691358024691359E-4</v>
      </c>
      <c r="AF389" s="5" cm="1">
        <f t="array" ref="AF389">INDEX($B$48:$Y$63, INT((ROW(A380)-1)/24) + 1, MOD(ROW(A380)-1, 24) + 1)</f>
        <v>129410</v>
      </c>
    </row>
    <row r="390" spans="27:32" x14ac:dyDescent="0.2">
      <c r="AA390" s="5" t="s">
        <v>12</v>
      </c>
      <c r="AB390" s="5" t="s">
        <v>418</v>
      </c>
      <c r="AC390" s="7" t="str" cm="1">
        <f t="array" ref="AC390">INDEX($B$10:$Y$25, INT((ROW(A381)-1)/24) + 1, MOD(ROW(A381)-1, 24) + 1)</f>
        <v>B11</v>
      </c>
      <c r="AD390" s="5">
        <v>1</v>
      </c>
      <c r="AE390" s="5" cm="1">
        <f t="array" ref="AE390">INDEX($B$29:$Y$44, INT((ROW(A381)-1)/24) + 1, MOD(ROW(A381)-1, 24) + 1)</f>
        <v>8.23045267489712E-5</v>
      </c>
      <c r="AF390" s="5" cm="1">
        <f t="array" ref="AF390">INDEX($B$48:$Y$63, INT((ROW(A381)-1)/24) + 1, MOD(ROW(A381)-1, 24) + 1)</f>
        <v>127000</v>
      </c>
    </row>
    <row r="391" spans="27:32" x14ac:dyDescent="0.2">
      <c r="AA391" s="5" t="s">
        <v>12</v>
      </c>
      <c r="AB391" s="5" t="s">
        <v>419</v>
      </c>
      <c r="AC391" s="7" t="str" cm="1">
        <f t="array" ref="AC391">INDEX($B$10:$Y$25, INT((ROW(A382)-1)/24) + 1, MOD(ROW(A382)-1, 24) + 1)</f>
        <v>B11</v>
      </c>
      <c r="AD391" s="5">
        <v>1</v>
      </c>
      <c r="AE391" s="5" cm="1">
        <f t="array" ref="AE391">INDEX($B$29:$Y$44, INT((ROW(A382)-1)/24) + 1, MOD(ROW(A382)-1, 24) + 1)</f>
        <v>2.7434842249657068E-5</v>
      </c>
      <c r="AF391" s="5" cm="1">
        <f t="array" ref="AF391">INDEX($B$48:$Y$63, INT((ROW(A382)-1)/24) + 1, MOD(ROW(A382)-1, 24) + 1)</f>
        <v>124020</v>
      </c>
    </row>
    <row r="392" spans="27:32" x14ac:dyDescent="0.2">
      <c r="AA392" s="5" t="s">
        <v>12</v>
      </c>
      <c r="AB392" s="5" t="s">
        <v>420</v>
      </c>
      <c r="AC392" s="7" t="str" cm="1">
        <f t="array" ref="AC392">INDEX($B$10:$Y$25, INT((ROW(A383)-1)/24) + 1, MOD(ROW(A383)-1, 24) + 1)</f>
        <v>B11</v>
      </c>
      <c r="AD392" s="5">
        <v>1</v>
      </c>
      <c r="AE392" s="5" cm="1">
        <f t="array" ref="AE392">INDEX($B$29:$Y$44, INT((ROW(A383)-1)/24) + 1, MOD(ROW(A383)-1, 24) + 1)</f>
        <v>9.1449474165523565E-6</v>
      </c>
      <c r="AF392" s="5" cm="1">
        <f t="array" ref="AF392">INDEX($B$48:$Y$63, INT((ROW(A383)-1)/24) + 1, MOD(ROW(A383)-1, 24) + 1)</f>
        <v>129945</v>
      </c>
    </row>
    <row r="393" spans="27:32" x14ac:dyDescent="0.2">
      <c r="AA393" s="5" t="s">
        <v>12</v>
      </c>
      <c r="AB393" s="5" t="s">
        <v>421</v>
      </c>
      <c r="AC393" s="7"/>
      <c r="AD393" s="5"/>
      <c r="AE393" s="5" cm="1">
        <f t="array" ref="AE393">INDEX($B$29:$Y$44, INT((ROW(A384)-1)/24) + 1, MOD(ROW(A384)-1, 24) + 1)</f>
        <v>0</v>
      </c>
      <c r="AF393" s="5" cm="1">
        <f t="array" ref="AF393">INDEX($B$48:$Y$63, INT((ROW(A384)-1)/24) + 1, MOD(ROW(A384)-1, 24) + 1)</f>
        <v>680</v>
      </c>
    </row>
  </sheetData>
  <conditionalFormatting sqref="B38:B43 B40:L40 C38:L44">
    <cfRule type="colorScale" priority="2045">
      <colorScale>
        <cfvo type="min"/>
        <cfvo type="max"/>
        <color rgb="FFFCFCFF"/>
        <color rgb="FFF8696B"/>
      </colorScale>
    </cfRule>
  </conditionalFormatting>
  <conditionalFormatting sqref="B40:B43 C41:K44 D41:L41 C42:L42 D43:L43 C44:L44">
    <cfRule type="colorScale" priority="2267">
      <colorScale>
        <cfvo type="min"/>
        <cfvo type="max"/>
        <color rgb="FFF8696B"/>
        <color rgb="FFFCFCFF"/>
      </colorScale>
    </cfRule>
    <cfRule type="colorScale" priority="2259">
      <colorScale>
        <cfvo type="min"/>
        <cfvo type="max"/>
        <color rgb="FFFCFCFF"/>
        <color rgb="FFF8696B"/>
      </colorScale>
    </cfRule>
  </conditionalFormatting>
  <conditionalFormatting sqref="B44">
    <cfRule type="colorScale" priority="2041">
      <colorScale>
        <cfvo type="min"/>
        <cfvo type="max"/>
        <color rgb="FFFCFCFF"/>
        <color rgb="FFF8696B"/>
      </colorScale>
    </cfRule>
    <cfRule type="colorScale" priority="2040">
      <colorScale>
        <cfvo type="min"/>
        <cfvo type="max"/>
        <color rgb="FFF8696B"/>
        <color rgb="FFFCFCFF"/>
      </colorScale>
    </cfRule>
    <cfRule type="colorScale" priority="2039">
      <colorScale>
        <cfvo type="min"/>
        <cfvo type="max"/>
        <color rgb="FFFCFCFF"/>
        <color rgb="FFF8696B"/>
      </colorScale>
    </cfRule>
    <cfRule type="colorScale" priority="2038">
      <colorScale>
        <cfvo type="min"/>
        <cfvo type="max"/>
        <color rgb="FFFCFCFF"/>
        <color rgb="FFF8696B"/>
      </colorScale>
    </cfRule>
    <cfRule type="colorScale" priority="2037">
      <colorScale>
        <cfvo type="min"/>
        <cfvo type="max"/>
        <color rgb="FFFCFCFF"/>
        <color rgb="FFF8696B"/>
      </colorScale>
    </cfRule>
    <cfRule type="colorScale" priority="2036">
      <colorScale>
        <cfvo type="min"/>
        <cfvo type="max"/>
        <color rgb="FFFCFCFF"/>
        <color rgb="FFF8696B"/>
      </colorScale>
    </cfRule>
    <cfRule type="colorScale" priority="2035">
      <colorScale>
        <cfvo type="min"/>
        <cfvo type="max"/>
        <color rgb="FFFCFCFF"/>
        <color rgb="FFF8696B"/>
      </colorScale>
    </cfRule>
    <cfRule type="colorScale" priority="2034">
      <colorScale>
        <cfvo type="min"/>
        <cfvo type="max"/>
        <color rgb="FFFCFCFF"/>
        <color rgb="FFF8696B"/>
      </colorScale>
    </cfRule>
    <cfRule type="colorScale" priority="2033">
      <colorScale>
        <cfvo type="min"/>
        <cfvo type="max"/>
        <color rgb="FFFCFCFF"/>
        <color rgb="FFF8696B"/>
      </colorScale>
    </cfRule>
    <cfRule type="colorScale" priority="2042">
      <colorScale>
        <cfvo type="min"/>
        <cfvo type="max"/>
        <color rgb="FFFCFCFF"/>
        <color rgb="FFF8696B"/>
      </colorScale>
    </cfRule>
    <cfRule type="colorScale" priority="2043">
      <colorScale>
        <cfvo type="min"/>
        <cfvo type="max"/>
        <color rgb="FFF8696B"/>
        <color rgb="FFFCFCFF"/>
      </colorScale>
    </cfRule>
  </conditionalFormatting>
  <conditionalFormatting sqref="B29:C29">
    <cfRule type="colorScale" priority="290">
      <colorScale>
        <cfvo type="min"/>
        <cfvo type="max"/>
        <color rgb="FFFCFCFF"/>
        <color rgb="FFF8696B"/>
      </colorScale>
    </cfRule>
    <cfRule type="colorScale" priority="289">
      <colorScale>
        <cfvo type="min"/>
        <cfvo type="max"/>
        <color rgb="FFFCFCFF"/>
        <color rgb="FFF8696B"/>
      </colorScale>
    </cfRule>
    <cfRule type="colorScale" priority="285">
      <colorScale>
        <cfvo type="min"/>
        <cfvo type="max"/>
        <color rgb="FFFCFCFF"/>
        <color rgb="FFF8696B"/>
      </colorScale>
    </cfRule>
  </conditionalFormatting>
  <conditionalFormatting sqref="B30:C30">
    <cfRule type="colorScale" priority="234">
      <colorScale>
        <cfvo type="min"/>
        <cfvo type="max"/>
        <color rgb="FFFCFCFF"/>
        <color rgb="FFF8696B"/>
      </colorScale>
    </cfRule>
    <cfRule type="colorScale" priority="108">
      <colorScale>
        <cfvo type="min"/>
        <cfvo type="max"/>
        <color rgb="FFFCFCFF"/>
        <color rgb="FFF8696B"/>
      </colorScale>
    </cfRule>
    <cfRule type="colorScale" priority="239">
      <colorScale>
        <cfvo type="min"/>
        <cfvo type="max"/>
        <color rgb="FFFCFCFF"/>
        <color rgb="FFF8696B"/>
      </colorScale>
    </cfRule>
    <cfRule type="colorScale" priority="113">
      <colorScale>
        <cfvo type="min"/>
        <cfvo type="max"/>
        <color rgb="FFFCFCFF"/>
        <color rgb="FFF8696B"/>
      </colorScale>
    </cfRule>
    <cfRule type="colorScale" priority="112">
      <colorScale>
        <cfvo type="min"/>
        <cfvo type="max"/>
        <color rgb="FFFCFCFF"/>
        <color rgb="FFF8696B"/>
      </colorScale>
    </cfRule>
    <cfRule type="colorScale" priority="238">
      <colorScale>
        <cfvo type="min"/>
        <cfvo type="max"/>
        <color rgb="FFFCFCFF"/>
        <color rgb="FFF8696B"/>
      </colorScale>
    </cfRule>
  </conditionalFormatting>
  <conditionalFormatting sqref="B31:C31">
    <cfRule type="colorScale" priority="66">
      <colorScale>
        <cfvo type="min"/>
        <cfvo type="max"/>
        <color rgb="FFFCFCFF"/>
        <color rgb="FFF8696B"/>
      </colorScale>
    </cfRule>
    <cfRule type="colorScale" priority="192">
      <colorScale>
        <cfvo type="min"/>
        <cfvo type="max"/>
        <color rgb="FFFCFCFF"/>
        <color rgb="FFF8696B"/>
      </colorScale>
    </cfRule>
    <cfRule type="colorScale" priority="70">
      <colorScale>
        <cfvo type="min"/>
        <cfvo type="max"/>
        <color rgb="FFFCFCFF"/>
        <color rgb="FFF8696B"/>
      </colorScale>
    </cfRule>
    <cfRule type="colorScale" priority="71">
      <colorScale>
        <cfvo type="min"/>
        <cfvo type="max"/>
        <color rgb="FFFCFCFF"/>
        <color rgb="FFF8696B"/>
      </colorScale>
    </cfRule>
    <cfRule type="colorScale" priority="196">
      <colorScale>
        <cfvo type="min"/>
        <cfvo type="max"/>
        <color rgb="FFFCFCFF"/>
        <color rgb="FFF8696B"/>
      </colorScale>
    </cfRule>
    <cfRule type="colorScale" priority="197">
      <colorScale>
        <cfvo type="min"/>
        <cfvo type="max"/>
        <color rgb="FFFCFCFF"/>
        <color rgb="FFF8696B"/>
      </colorScale>
    </cfRule>
  </conditionalFormatting>
  <conditionalFormatting sqref="B32:C32">
    <cfRule type="colorScale" priority="24">
      <colorScale>
        <cfvo type="min"/>
        <cfvo type="max"/>
        <color rgb="FFFCFCFF"/>
        <color rgb="FFF8696B"/>
      </colorScale>
    </cfRule>
    <cfRule type="colorScale" priority="150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max"/>
        <color rgb="FFFCFCFF"/>
        <color rgb="FFF8696B"/>
      </colorScale>
    </cfRule>
    <cfRule type="colorScale" priority="28">
      <colorScale>
        <cfvo type="min"/>
        <cfvo type="max"/>
        <color rgb="FFFCFCFF"/>
        <color rgb="FFF8696B"/>
      </colorScale>
    </cfRule>
    <cfRule type="colorScale" priority="154">
      <colorScale>
        <cfvo type="min"/>
        <cfvo type="max"/>
        <color rgb="FFFCFCFF"/>
        <color rgb="FFF8696B"/>
      </colorScale>
    </cfRule>
    <cfRule type="colorScale" priority="155">
      <colorScale>
        <cfvo type="min"/>
        <cfvo type="max"/>
        <color rgb="FFFCFCFF"/>
        <color rgb="FFF8696B"/>
      </colorScale>
    </cfRule>
  </conditionalFormatting>
  <conditionalFormatting sqref="B38:G40 I38:I40 K38:K40 D39:L39 B40:L40">
    <cfRule type="colorScale" priority="2272">
      <colorScale>
        <cfvo type="min"/>
        <cfvo type="max"/>
        <color rgb="FFFCFCFF"/>
        <color rgb="FFF8696B"/>
      </colorScale>
    </cfRule>
    <cfRule type="colorScale" priority="2271">
      <colorScale>
        <cfvo type="min"/>
        <cfvo type="max"/>
        <color rgb="FFFCFCFF"/>
        <color rgb="FFF8696B"/>
      </colorScale>
    </cfRule>
    <cfRule type="colorScale" priority="2270">
      <colorScale>
        <cfvo type="min"/>
        <cfvo type="max"/>
        <color rgb="FFFCFCFF"/>
        <color rgb="FFF8696B"/>
      </colorScale>
    </cfRule>
  </conditionalFormatting>
  <conditionalFormatting sqref="B38:K40 D39:L39 B40:L40">
    <cfRule type="colorScale" priority="2269">
      <colorScale>
        <cfvo type="min"/>
        <cfvo type="max"/>
        <color rgb="FFFCFCFF"/>
        <color rgb="FFF8696B"/>
      </colorScale>
    </cfRule>
    <cfRule type="colorScale" priority="2268">
      <colorScale>
        <cfvo type="min"/>
        <cfvo type="max"/>
        <color rgb="FFFCFCFF"/>
        <color rgb="FFF8696B"/>
      </colorScale>
    </cfRule>
    <cfRule type="colorScale" priority="2273">
      <colorScale>
        <cfvo type="min"/>
        <cfvo type="max"/>
        <color rgb="FFF8696B"/>
        <color rgb="FFFCFCFF"/>
      </colorScale>
    </cfRule>
    <cfRule type="colorScale" priority="2283">
      <colorScale>
        <cfvo type="min"/>
        <cfvo type="max"/>
        <color rgb="FFFCFCFF"/>
        <color rgb="FFF8696B"/>
      </colorScale>
    </cfRule>
    <cfRule type="colorScale" priority="2291">
      <colorScale>
        <cfvo type="min"/>
        <cfvo type="max"/>
        <color rgb="FFF8696B"/>
        <color rgb="FFFCFCFF"/>
      </colorScale>
    </cfRule>
  </conditionalFormatting>
  <conditionalFormatting sqref="B29:L29">
    <cfRule type="colorScale" priority="300">
      <colorScale>
        <cfvo type="min"/>
        <cfvo type="max"/>
        <color rgb="FFFCFCFF"/>
        <color rgb="FFF8696B"/>
      </colorScale>
    </cfRule>
    <cfRule type="colorScale" priority="316">
      <colorScale>
        <cfvo type="min"/>
        <cfvo type="max"/>
        <color rgb="FFF8696B"/>
        <color rgb="FFFCFCFF"/>
      </colorScale>
    </cfRule>
    <cfRule type="colorScale" priority="309">
      <colorScale>
        <cfvo type="min"/>
        <cfvo type="max"/>
        <color rgb="FFFCFCFF"/>
        <color rgb="FFF8696B"/>
      </colorScale>
    </cfRule>
    <cfRule type="colorScale" priority="307">
      <colorScale>
        <cfvo type="min"/>
        <cfvo type="max"/>
        <color rgb="FFFCFCFF"/>
        <color rgb="FFF8696B"/>
      </colorScale>
    </cfRule>
    <cfRule type="colorScale" priority="306">
      <colorScale>
        <cfvo type="min"/>
        <cfvo type="max"/>
        <color rgb="FFF8696B"/>
        <color rgb="FFFCFCFF"/>
      </colorScale>
    </cfRule>
    <cfRule type="colorScale" priority="305">
      <colorScale>
        <cfvo type="min"/>
        <cfvo type="max"/>
        <color rgb="FFFCFCFF"/>
        <color rgb="FFF8696B"/>
      </colorScale>
    </cfRule>
    <cfRule type="colorScale" priority="304">
      <colorScale>
        <cfvo type="min"/>
        <cfvo type="max"/>
        <color rgb="FFFCFCFF"/>
        <color rgb="FFF8696B"/>
      </colorScale>
    </cfRule>
    <cfRule type="colorScale" priority="296">
      <colorScale>
        <cfvo type="min"/>
        <cfvo type="max"/>
        <color rgb="FFFCFCFF"/>
        <color rgb="FFF8696B"/>
      </colorScale>
    </cfRule>
    <cfRule type="colorScale" priority="295">
      <colorScale>
        <cfvo type="min"/>
        <cfvo type="max"/>
        <color rgb="FFFCFCFF"/>
        <color rgb="FFF8696B"/>
      </colorScale>
    </cfRule>
    <cfRule type="colorScale" priority="291">
      <colorScale>
        <cfvo type="min"/>
        <cfvo type="max"/>
        <color rgb="FFFCFCFF"/>
        <color rgb="FFF8696B"/>
      </colorScale>
    </cfRule>
    <cfRule type="colorScale" priority="281">
      <colorScale>
        <cfvo type="min"/>
        <cfvo type="max"/>
        <color rgb="FFFCFCFF"/>
        <color rgb="FFF8696B"/>
      </colorScale>
    </cfRule>
    <cfRule type="colorScale" priority="254">
      <colorScale>
        <cfvo type="min"/>
        <cfvo type="max"/>
        <color rgb="FFFCFCFF"/>
        <color rgb="FFF8696B"/>
      </colorScale>
    </cfRule>
    <cfRule type="colorScale" priority="255">
      <colorScale>
        <cfvo type="min"/>
        <cfvo type="max"/>
        <color rgb="FFFCFCFF"/>
        <color rgb="FFF8696B"/>
      </colorScale>
    </cfRule>
  </conditionalFormatting>
  <conditionalFormatting sqref="B29:L36">
    <cfRule type="colorScale" priority="1">
      <colorScale>
        <cfvo type="min"/>
        <cfvo type="max"/>
        <color rgb="FFFCFCFF"/>
        <color rgb="FFF8696B"/>
      </colorScale>
    </cfRule>
  </conditionalFormatting>
  <conditionalFormatting sqref="B30:L30">
    <cfRule type="colorScale" priority="253">
      <colorScale>
        <cfvo type="min"/>
        <cfvo type="max"/>
        <color rgb="FFF8696B"/>
        <color rgb="FFFCFCFF"/>
      </colorScale>
    </cfRule>
    <cfRule type="colorScale" priority="249">
      <colorScale>
        <cfvo type="min"/>
        <cfvo type="max"/>
        <color rgb="FFFCFCFF"/>
        <color rgb="FFF8696B"/>
      </colorScale>
    </cfRule>
    <cfRule type="colorScale" priority="247">
      <colorScale>
        <cfvo type="min"/>
        <cfvo type="max"/>
        <color rgb="FFFCFCFF"/>
        <color rgb="FFF8696B"/>
      </colorScale>
    </cfRule>
    <cfRule type="colorScale" priority="246">
      <colorScale>
        <cfvo type="min"/>
        <cfvo type="max"/>
        <color rgb="FFF8696B"/>
        <color rgb="FFFCFCFF"/>
      </colorScale>
    </cfRule>
    <cfRule type="colorScale" priority="245">
      <colorScale>
        <cfvo type="min"/>
        <cfvo type="max"/>
        <color rgb="FFFCFCFF"/>
        <color rgb="FFF8696B"/>
      </colorScale>
    </cfRule>
    <cfRule type="colorScale" priority="244">
      <colorScale>
        <cfvo type="min"/>
        <cfvo type="max"/>
        <color rgb="FFFCFCFF"/>
        <color rgb="FFF8696B"/>
      </colorScale>
    </cfRule>
    <cfRule type="colorScale" priority="243">
      <colorScale>
        <cfvo type="min"/>
        <cfvo type="max"/>
        <color rgb="FFFCFCFF"/>
        <color rgb="FFF8696B"/>
      </colorScale>
    </cfRule>
    <cfRule type="colorScale" priority="242">
      <colorScale>
        <cfvo type="min"/>
        <cfvo type="max"/>
        <color rgb="FFFCFCFF"/>
        <color rgb="FFF8696B"/>
      </colorScale>
    </cfRule>
    <cfRule type="colorScale" priority="241">
      <colorScale>
        <cfvo type="min"/>
        <cfvo type="max"/>
        <color rgb="FFFCFCFF"/>
        <color rgb="FFF8696B"/>
      </colorScale>
    </cfRule>
    <cfRule type="colorScale" priority="240">
      <colorScale>
        <cfvo type="min"/>
        <cfvo type="max"/>
        <color rgb="FFFCFCFF"/>
        <color rgb="FFF8696B"/>
      </colorScale>
    </cfRule>
    <cfRule type="colorScale" priority="230">
      <colorScale>
        <cfvo type="min"/>
        <cfvo type="max"/>
        <color rgb="FFFCFCFF"/>
        <color rgb="FFF8696B"/>
      </colorScale>
    </cfRule>
    <cfRule type="colorScale" priority="213">
      <colorScale>
        <cfvo type="min"/>
        <cfvo type="max"/>
        <color rgb="FFFCFCFF"/>
        <color rgb="FFF8696B"/>
      </colorScale>
    </cfRule>
    <cfRule type="colorScale" priority="212">
      <colorScale>
        <cfvo type="min"/>
        <cfvo type="max"/>
        <color rgb="FFFCFCFF"/>
        <color rgb="FFF8696B"/>
      </colorScale>
    </cfRule>
    <cfRule type="colorScale" priority="127">
      <colorScale>
        <cfvo type="min"/>
        <cfvo type="max"/>
        <color rgb="FFF8696B"/>
        <color rgb="FFFCFCFF"/>
      </colorScale>
    </cfRule>
    <cfRule type="colorScale" priority="123">
      <colorScale>
        <cfvo type="min"/>
        <cfvo type="max"/>
        <color rgb="FFFCFCFF"/>
        <color rgb="FFF8696B"/>
      </colorScale>
    </cfRule>
    <cfRule type="colorScale" priority="121">
      <colorScale>
        <cfvo type="min"/>
        <cfvo type="max"/>
        <color rgb="FFFCFCFF"/>
        <color rgb="FFF8696B"/>
      </colorScale>
    </cfRule>
    <cfRule type="colorScale" priority="120">
      <colorScale>
        <cfvo type="min"/>
        <cfvo type="max"/>
        <color rgb="FFF8696B"/>
        <color rgb="FFFCFCFF"/>
      </colorScale>
    </cfRule>
    <cfRule type="colorScale" priority="119">
      <colorScale>
        <cfvo type="min"/>
        <cfvo type="max"/>
        <color rgb="FFFCFCFF"/>
        <color rgb="FFF8696B"/>
      </colorScale>
    </cfRule>
    <cfRule type="colorScale" priority="118">
      <colorScale>
        <cfvo type="min"/>
        <cfvo type="max"/>
        <color rgb="FFFCFCFF"/>
        <color rgb="FFF8696B"/>
      </colorScale>
    </cfRule>
    <cfRule type="colorScale" priority="117">
      <colorScale>
        <cfvo type="min"/>
        <cfvo type="max"/>
        <color rgb="FFFCFCFF"/>
        <color rgb="FFF8696B"/>
      </colorScale>
    </cfRule>
    <cfRule type="colorScale" priority="116">
      <colorScale>
        <cfvo type="min"/>
        <cfvo type="max"/>
        <color rgb="FFFCFCFF"/>
        <color rgb="FFF8696B"/>
      </colorScale>
    </cfRule>
    <cfRule type="colorScale" priority="115">
      <colorScale>
        <cfvo type="min"/>
        <cfvo type="max"/>
        <color rgb="FFFCFCFF"/>
        <color rgb="FFF8696B"/>
      </colorScale>
    </cfRule>
    <cfRule type="colorScale" priority="114">
      <colorScale>
        <cfvo type="min"/>
        <cfvo type="max"/>
        <color rgb="FFFCFCFF"/>
        <color rgb="FFF8696B"/>
      </colorScale>
    </cfRule>
    <cfRule type="colorScale" priority="104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max"/>
        <color rgb="FFFCFCFF"/>
        <color rgb="FFF8696B"/>
      </colorScale>
    </cfRule>
    <cfRule type="colorScale" priority="86">
      <colorScale>
        <cfvo type="min"/>
        <cfvo type="max"/>
        <color rgb="FFFCFCFF"/>
        <color rgb="FFF8696B"/>
      </colorScale>
    </cfRule>
  </conditionalFormatting>
  <conditionalFormatting sqref="B31:L31">
    <cfRule type="colorScale" priority="45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max"/>
        <color rgb="FFF8696B"/>
        <color rgb="FFFCFCFF"/>
      </colorScale>
    </cfRule>
    <cfRule type="colorScale" priority="72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max"/>
        <color rgb="FFFCFCFF"/>
        <color rgb="FFF8696B"/>
      </colorScale>
    </cfRule>
    <cfRule type="colorScale" priority="74">
      <colorScale>
        <cfvo type="min"/>
        <cfvo type="max"/>
        <color rgb="FFFCFCFF"/>
        <color rgb="FFF8696B"/>
      </colorScale>
    </cfRule>
    <cfRule type="colorScale" priority="75">
      <colorScale>
        <cfvo type="min"/>
        <cfvo type="max"/>
        <color rgb="FFFCFCFF"/>
        <color rgb="FFF8696B"/>
      </colorScale>
    </cfRule>
    <cfRule type="colorScale" priority="76">
      <colorScale>
        <cfvo type="min"/>
        <cfvo type="max"/>
        <color rgb="FFFCFCFF"/>
        <color rgb="FFF8696B"/>
      </colorScale>
    </cfRule>
    <cfRule type="colorScale" priority="77">
      <colorScale>
        <cfvo type="min"/>
        <cfvo type="max"/>
        <color rgb="FFFCFCFF"/>
        <color rgb="FFF8696B"/>
      </colorScale>
    </cfRule>
    <cfRule type="colorScale" priority="44">
      <colorScale>
        <cfvo type="min"/>
        <cfvo type="max"/>
        <color rgb="FFFCFCFF"/>
        <color rgb="FFF8696B"/>
      </colorScale>
    </cfRule>
    <cfRule type="colorScale" priority="62">
      <colorScale>
        <cfvo type="min"/>
        <cfvo type="max"/>
        <color rgb="FFFCFCFF"/>
        <color rgb="FFF8696B"/>
      </colorScale>
    </cfRule>
    <cfRule type="colorScale" priority="78">
      <colorScale>
        <cfvo type="min"/>
        <cfvo type="max"/>
        <color rgb="FFF8696B"/>
        <color rgb="FFFCFCFF"/>
      </colorScale>
    </cfRule>
    <cfRule type="colorScale" priority="79">
      <colorScale>
        <cfvo type="min"/>
        <cfvo type="max"/>
        <color rgb="FFFCFCFF"/>
        <color rgb="FFF8696B"/>
      </colorScale>
    </cfRule>
    <cfRule type="colorScale" priority="170">
      <colorScale>
        <cfvo type="min"/>
        <cfvo type="max"/>
        <color rgb="FFFCFCFF"/>
        <color rgb="FFF8696B"/>
      </colorScale>
    </cfRule>
    <cfRule type="colorScale" priority="211">
      <colorScale>
        <cfvo type="min"/>
        <cfvo type="max"/>
        <color rgb="FFF8696B"/>
        <color rgb="FFFCFCFF"/>
      </colorScale>
    </cfRule>
    <cfRule type="colorScale" priority="207">
      <colorScale>
        <cfvo type="min"/>
        <cfvo type="max"/>
        <color rgb="FFFCFCFF"/>
        <color rgb="FFF8696B"/>
      </colorScale>
    </cfRule>
    <cfRule type="colorScale" priority="205">
      <colorScale>
        <cfvo type="min"/>
        <cfvo type="max"/>
        <color rgb="FFFCFCFF"/>
        <color rgb="FFF8696B"/>
      </colorScale>
    </cfRule>
    <cfRule type="colorScale" priority="204">
      <colorScale>
        <cfvo type="min"/>
        <cfvo type="max"/>
        <color rgb="FFF8696B"/>
        <color rgb="FFFCFCFF"/>
      </colorScale>
    </cfRule>
    <cfRule type="colorScale" priority="203">
      <colorScale>
        <cfvo type="min"/>
        <cfvo type="max"/>
        <color rgb="FFFCFCFF"/>
        <color rgb="FFF8696B"/>
      </colorScale>
    </cfRule>
    <cfRule type="colorScale" priority="202">
      <colorScale>
        <cfvo type="min"/>
        <cfvo type="max"/>
        <color rgb="FFFCFCFF"/>
        <color rgb="FFF8696B"/>
      </colorScale>
    </cfRule>
    <cfRule type="colorScale" priority="201">
      <colorScale>
        <cfvo type="min"/>
        <cfvo type="max"/>
        <color rgb="FFFCFCFF"/>
        <color rgb="FFF8696B"/>
      </colorScale>
    </cfRule>
    <cfRule type="colorScale" priority="81">
      <colorScale>
        <cfvo type="min"/>
        <cfvo type="max"/>
        <color rgb="FFFCFCFF"/>
        <color rgb="FFF8696B"/>
      </colorScale>
    </cfRule>
    <cfRule type="colorScale" priority="200">
      <colorScale>
        <cfvo type="min"/>
        <cfvo type="max"/>
        <color rgb="FFFCFCFF"/>
        <color rgb="FFF8696B"/>
      </colorScale>
    </cfRule>
    <cfRule type="colorScale" priority="199">
      <colorScale>
        <cfvo type="min"/>
        <cfvo type="max"/>
        <color rgb="FFFCFCFF"/>
        <color rgb="FFF8696B"/>
      </colorScale>
    </cfRule>
    <cfRule type="colorScale" priority="198">
      <colorScale>
        <cfvo type="min"/>
        <cfvo type="max"/>
        <color rgb="FFFCFCFF"/>
        <color rgb="FFF8696B"/>
      </colorScale>
    </cfRule>
    <cfRule type="colorScale" priority="171">
      <colorScale>
        <cfvo type="min"/>
        <cfvo type="max"/>
        <color rgb="FFFCFCFF"/>
        <color rgb="FFF8696B"/>
      </colorScale>
    </cfRule>
    <cfRule type="colorScale" priority="188">
      <colorScale>
        <cfvo type="min"/>
        <cfvo type="max"/>
        <color rgb="FFFCFCFF"/>
        <color rgb="FFF8696B"/>
      </colorScale>
    </cfRule>
  </conditionalFormatting>
  <conditionalFormatting sqref="B32:L32">
    <cfRule type="colorScale" priority="34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max"/>
        <color rgb="FFFCFCFF"/>
        <color rgb="FFF8696B"/>
      </colorScale>
    </cfRule>
    <cfRule type="colorScale" priority="32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max"/>
        <color rgb="FFFCFCFF"/>
        <color rgb="FFF8696B"/>
      </colorScale>
    </cfRule>
    <cfRule type="colorScale" priority="30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max"/>
        <color rgb="FFF8696B"/>
        <color rgb="FFFCFCFF"/>
      </colorScale>
    </cfRule>
    <cfRule type="colorScale" priority="146">
      <colorScale>
        <cfvo type="min"/>
        <cfvo type="max"/>
        <color rgb="FFFCFCFF"/>
        <color rgb="FFF8696B"/>
      </colorScale>
    </cfRule>
    <cfRule type="colorScale" priority="37">
      <colorScale>
        <cfvo type="min"/>
        <cfvo type="max"/>
        <color rgb="FFFCFCFF"/>
        <color rgb="FFF8696B"/>
      </colorScale>
    </cfRule>
    <cfRule type="colorScale" priority="36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  <cfRule type="colorScale" priority="169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CFCFF"/>
        <color rgb="FFF8696B"/>
      </colorScale>
    </cfRule>
    <cfRule type="colorScale" priority="165">
      <colorScale>
        <cfvo type="min"/>
        <cfvo type="max"/>
        <color rgb="FFFCFCFF"/>
        <color rgb="FFF8696B"/>
      </colorScale>
    </cfRule>
    <cfRule type="colorScale" priority="163">
      <colorScale>
        <cfvo type="min"/>
        <cfvo type="max"/>
        <color rgb="FFFCFCFF"/>
        <color rgb="FFF8696B"/>
      </colorScale>
    </cfRule>
    <cfRule type="colorScale" priority="162">
      <colorScale>
        <cfvo type="min"/>
        <cfvo type="max"/>
        <color rgb="FFF8696B"/>
        <color rgb="FFFCFCFF"/>
      </colorScale>
    </cfRule>
    <cfRule type="colorScale" priority="161">
      <colorScale>
        <cfvo type="min"/>
        <cfvo type="max"/>
        <color rgb="FFFCFCFF"/>
        <color rgb="FFF8696B"/>
      </colorScale>
    </cfRule>
    <cfRule type="colorScale" priority="128">
      <colorScale>
        <cfvo type="min"/>
        <cfvo type="max"/>
        <color rgb="FFFCFCFF"/>
        <color rgb="FFF8696B"/>
      </colorScale>
    </cfRule>
    <cfRule type="colorScale" priority="129">
      <colorScale>
        <cfvo type="min"/>
        <cfvo type="max"/>
        <color rgb="FFFCFCFF"/>
        <color rgb="FFF8696B"/>
      </colorScale>
    </cfRule>
    <cfRule type="colorScale" priority="160">
      <colorScale>
        <cfvo type="min"/>
        <cfvo type="max"/>
        <color rgb="FFFCFCFF"/>
        <color rgb="FFF8696B"/>
      </colorScale>
    </cfRule>
    <cfRule type="colorScale" priority="159">
      <colorScale>
        <cfvo type="min"/>
        <cfvo type="max"/>
        <color rgb="FFFCFCFF"/>
        <color rgb="FFF8696B"/>
      </colorScale>
    </cfRule>
    <cfRule type="colorScale" priority="158">
      <colorScale>
        <cfvo type="min"/>
        <cfvo type="max"/>
        <color rgb="FFFCFCFF"/>
        <color rgb="FFF8696B"/>
      </colorScale>
    </cfRule>
    <cfRule type="colorScale" priority="157">
      <colorScale>
        <cfvo type="min"/>
        <cfvo type="max"/>
        <color rgb="FFFCFCFF"/>
        <color rgb="FFF8696B"/>
      </colorScale>
    </cfRule>
    <cfRule type="colorScale" priority="156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max"/>
        <color rgb="FFFCFCFF"/>
        <color rgb="FFF8696B"/>
      </colorScale>
    </cfRule>
  </conditionalFormatting>
  <conditionalFormatting sqref="B48:L57 B62:L63 B58:B61">
    <cfRule type="colorScale" priority="2294">
      <colorScale>
        <cfvo type="min"/>
        <cfvo type="max"/>
        <color rgb="FFFCFCFF"/>
        <color rgb="FFF8696B"/>
      </colorScale>
    </cfRule>
  </conditionalFormatting>
  <conditionalFormatting sqref="B48:Y54 B56:Y63 B55:M55">
    <cfRule type="colorScale" priority="1602">
      <colorScale>
        <cfvo type="min"/>
        <cfvo type="max"/>
        <color rgb="FFFCFCFF"/>
        <color rgb="FFF8696B"/>
      </colorScale>
    </cfRule>
  </conditionalFormatting>
  <conditionalFormatting sqref="B69:Y84">
    <cfRule type="colorScale" priority="2293">
      <colorScale>
        <cfvo type="min"/>
        <cfvo type="max"/>
        <color rgb="FFFCFCFF"/>
        <color rgb="FFF8696B"/>
      </colorScale>
    </cfRule>
  </conditionalFormatting>
  <conditionalFormatting sqref="B87:Y102">
    <cfRule type="colorScale" priority="2292">
      <colorScale>
        <cfvo type="min"/>
        <cfvo type="max"/>
        <color rgb="FFFCFCFF"/>
        <color rgb="FFF8696B"/>
      </colorScale>
    </cfRule>
  </conditionalFormatting>
  <conditionalFormatting sqref="C58:D58">
    <cfRule type="colorScale" priority="1764">
      <colorScale>
        <cfvo type="min"/>
        <cfvo type="max"/>
        <color rgb="FFFCFCFF"/>
        <color rgb="FFF8696B"/>
      </colorScale>
    </cfRule>
    <cfRule type="colorScale" priority="1765">
      <colorScale>
        <cfvo type="min"/>
        <cfvo type="max"/>
        <color rgb="FFFCFCFF"/>
        <color rgb="FFF8696B"/>
      </colorScale>
    </cfRule>
    <cfRule type="colorScale" priority="1760">
      <colorScale>
        <cfvo type="min"/>
        <cfvo type="max"/>
        <color rgb="FFFCFCFF"/>
        <color rgb="FFF8696B"/>
      </colorScale>
    </cfRule>
  </conditionalFormatting>
  <conditionalFormatting sqref="C59:D59">
    <cfRule type="colorScale" priority="1709">
      <colorScale>
        <cfvo type="min"/>
        <cfvo type="max"/>
        <color rgb="FFFCFCFF"/>
        <color rgb="FFF8696B"/>
      </colorScale>
    </cfRule>
    <cfRule type="colorScale" priority="1714">
      <colorScale>
        <cfvo type="min"/>
        <cfvo type="max"/>
        <color rgb="FFFCFCFF"/>
        <color rgb="FFF8696B"/>
      </colorScale>
    </cfRule>
    <cfRule type="colorScale" priority="1713">
      <colorScale>
        <cfvo type="min"/>
        <cfvo type="max"/>
        <color rgb="FFFCFCFF"/>
        <color rgb="FFF8696B"/>
      </colorScale>
    </cfRule>
  </conditionalFormatting>
  <conditionalFormatting sqref="C60:D60">
    <cfRule type="colorScale" priority="1672">
      <colorScale>
        <cfvo type="min"/>
        <cfvo type="max"/>
        <color rgb="FFFCFCFF"/>
        <color rgb="FFF8696B"/>
      </colorScale>
    </cfRule>
    <cfRule type="colorScale" priority="1671">
      <colorScale>
        <cfvo type="min"/>
        <cfvo type="max"/>
        <color rgb="FFFCFCFF"/>
        <color rgb="FFF8696B"/>
      </colorScale>
    </cfRule>
    <cfRule type="colorScale" priority="1667">
      <colorScale>
        <cfvo type="min"/>
        <cfvo type="max"/>
        <color rgb="FFFCFCFF"/>
        <color rgb="FFF8696B"/>
      </colorScale>
    </cfRule>
  </conditionalFormatting>
  <conditionalFormatting sqref="C61:D61">
    <cfRule type="colorScale" priority="1625">
      <colorScale>
        <cfvo type="min"/>
        <cfvo type="max"/>
        <color rgb="FFFCFCFF"/>
        <color rgb="FFF8696B"/>
      </colorScale>
    </cfRule>
    <cfRule type="colorScale" priority="1630">
      <colorScale>
        <cfvo type="min"/>
        <cfvo type="max"/>
        <color rgb="FFFCFCFF"/>
        <color rgb="FFF8696B"/>
      </colorScale>
    </cfRule>
    <cfRule type="colorScale" priority="1629">
      <colorScale>
        <cfvo type="min"/>
        <cfvo type="max"/>
        <color rgb="FFFCFCFF"/>
        <color rgb="FFF8696B"/>
      </colorScale>
    </cfRule>
  </conditionalFormatting>
  <conditionalFormatting sqref="C42:G44 I42:I44 K42:K44 B41:B43 D43:L43 C44:L44">
    <cfRule type="colorScale" priority="2241">
      <colorScale>
        <cfvo type="min"/>
        <cfvo type="max"/>
        <color rgb="FFFCFCFF"/>
        <color rgb="FFF8696B"/>
      </colorScale>
    </cfRule>
    <cfRule type="colorScale" priority="2242">
      <colorScale>
        <cfvo type="min"/>
        <cfvo type="max"/>
        <color rgb="FFFCFCFF"/>
        <color rgb="FFF8696B"/>
      </colorScale>
    </cfRule>
    <cfRule type="colorScale" priority="2240">
      <colorScale>
        <cfvo type="min"/>
        <cfvo type="max"/>
        <color rgb="FFFCFCFF"/>
        <color rgb="FFF8696B"/>
      </colorScale>
    </cfRule>
  </conditionalFormatting>
  <conditionalFormatting sqref="C42:K42">
    <cfRule type="colorScale" priority="1798">
      <colorScale>
        <cfvo type="min"/>
        <cfvo type="max"/>
        <color rgb="FFF8696B"/>
        <color rgb="FFFCFCFF"/>
      </colorScale>
    </cfRule>
    <cfRule type="colorScale" priority="2030">
      <colorScale>
        <cfvo type="min"/>
        <cfvo type="max"/>
        <color rgb="FFFCFCFF"/>
        <color rgb="FFF8696B"/>
      </colorScale>
    </cfRule>
    <cfRule type="colorScale" priority="1796">
      <colorScale>
        <cfvo type="min"/>
        <cfvo type="max"/>
        <color rgb="FFFCFCFF"/>
        <color rgb="FFF8696B"/>
      </colorScale>
    </cfRule>
    <cfRule type="colorScale" priority="1797">
      <colorScale>
        <cfvo type="min"/>
        <cfvo type="max"/>
        <color rgb="FFFCFCFF"/>
        <color rgb="FFF8696B"/>
      </colorScale>
    </cfRule>
    <cfRule type="colorScale" priority="2032">
      <colorScale>
        <cfvo type="min"/>
        <cfvo type="max"/>
        <color rgb="FFF8696B"/>
        <color rgb="FFFCFCFF"/>
      </colorScale>
    </cfRule>
    <cfRule type="colorScale" priority="2031">
      <colorScale>
        <cfvo type="min"/>
        <cfvo type="max"/>
        <color rgb="FFFCFCFF"/>
        <color rgb="FFF8696B"/>
      </colorScale>
    </cfRule>
  </conditionalFormatting>
  <conditionalFormatting sqref="C42:K44 B41:B43 D43:L43 C44:L44">
    <cfRule type="colorScale" priority="2238">
      <colorScale>
        <cfvo type="min"/>
        <cfvo type="max"/>
        <color rgb="FFFCFCFF"/>
        <color rgb="FFF8696B"/>
      </colorScale>
    </cfRule>
    <cfRule type="colorScale" priority="2243">
      <colorScale>
        <cfvo type="min"/>
        <cfvo type="max"/>
        <color rgb="FFF8696B"/>
        <color rgb="FFFCFCFF"/>
      </colorScale>
    </cfRule>
    <cfRule type="colorScale" priority="2239">
      <colorScale>
        <cfvo type="min"/>
        <cfvo type="max"/>
        <color rgb="FFFCFCFF"/>
        <color rgb="FFF8696B"/>
      </colorScale>
    </cfRule>
  </conditionalFormatting>
  <conditionalFormatting sqref="C41:L42 B40">
    <cfRule type="colorScale" priority="2258">
      <colorScale>
        <cfvo type="min"/>
        <cfvo type="max"/>
        <color rgb="FFF8696B"/>
        <color rgb="FFFCFCFF"/>
      </colorScale>
    </cfRule>
    <cfRule type="colorScale" priority="2248">
      <colorScale>
        <cfvo type="min"/>
        <cfvo type="max"/>
        <color rgb="FFFCFCFF"/>
        <color rgb="FFF8696B"/>
      </colorScale>
    </cfRule>
    <cfRule type="colorScale" priority="2247">
      <colorScale>
        <cfvo type="min"/>
        <cfvo type="max"/>
        <color rgb="FFFCFCFF"/>
        <color rgb="FFF8696B"/>
      </colorScale>
    </cfRule>
  </conditionalFormatting>
  <conditionalFormatting sqref="C43:L44">
    <cfRule type="colorScale" priority="2027">
      <colorScale>
        <cfvo type="min"/>
        <cfvo type="max"/>
        <color rgb="FFFCFCFF"/>
        <color rgb="FFF8696B"/>
      </colorScale>
    </cfRule>
    <cfRule type="colorScale" priority="1793">
      <colorScale>
        <cfvo type="min"/>
        <cfvo type="max"/>
        <color rgb="FFFCFCFF"/>
        <color rgb="FFF8696B"/>
      </colorScale>
    </cfRule>
    <cfRule type="colorScale" priority="1794">
      <colorScale>
        <cfvo type="min"/>
        <cfvo type="max"/>
        <color rgb="FFFCFCFF"/>
        <color rgb="FFF8696B"/>
      </colorScale>
    </cfRule>
    <cfRule type="colorScale" priority="2028">
      <colorScale>
        <cfvo type="min"/>
        <cfvo type="max"/>
        <color rgb="FFFCFCFF"/>
        <color rgb="FFF8696B"/>
      </colorScale>
    </cfRule>
    <cfRule type="colorScale" priority="2029">
      <colorScale>
        <cfvo type="min"/>
        <cfvo type="max"/>
        <color rgb="FFF8696B"/>
        <color rgb="FFFCFCFF"/>
      </colorScale>
    </cfRule>
    <cfRule type="colorScale" priority="1795">
      <colorScale>
        <cfvo type="min"/>
        <cfvo type="max"/>
        <color rgb="FFF8696B"/>
        <color rgb="FFFCFCFF"/>
      </colorScale>
    </cfRule>
  </conditionalFormatting>
  <conditionalFormatting sqref="C58:M58">
    <cfRule type="colorScale" priority="1780">
      <colorScale>
        <cfvo type="min"/>
        <cfvo type="max"/>
        <color rgb="FFFCFCFF"/>
        <color rgb="FFF8696B"/>
      </colorScale>
    </cfRule>
    <cfRule type="colorScale" priority="1771">
      <colorScale>
        <cfvo type="min"/>
        <cfvo type="max"/>
        <color rgb="FFFCFCFF"/>
        <color rgb="FFF8696B"/>
      </colorScale>
    </cfRule>
    <cfRule type="colorScale" priority="1782">
      <colorScale>
        <cfvo type="min"/>
        <cfvo type="max"/>
        <color rgb="FFFCFCFF"/>
        <color rgb="FFF8696B"/>
      </colorScale>
    </cfRule>
    <cfRule type="colorScale" priority="1756">
      <colorScale>
        <cfvo type="min"/>
        <cfvo type="max"/>
        <color rgb="FFFCFCFF"/>
        <color rgb="FFF8696B"/>
      </colorScale>
    </cfRule>
    <cfRule type="colorScale" priority="1730">
      <colorScale>
        <cfvo type="min"/>
        <cfvo type="max"/>
        <color rgb="FFFCFCFF"/>
        <color rgb="FFF8696B"/>
      </colorScale>
    </cfRule>
    <cfRule type="colorScale" priority="1791">
      <colorScale>
        <cfvo type="min"/>
        <cfvo type="max"/>
        <color rgb="FFF8696B"/>
        <color rgb="FFFCFCFF"/>
      </colorScale>
    </cfRule>
    <cfRule type="colorScale" priority="1781">
      <colorScale>
        <cfvo type="min"/>
        <cfvo type="max"/>
        <color rgb="FFF8696B"/>
        <color rgb="FFFCFCFF"/>
      </colorScale>
    </cfRule>
    <cfRule type="colorScale" priority="1775">
      <colorScale>
        <cfvo type="min"/>
        <cfvo type="max"/>
        <color rgb="FFFCFCFF"/>
        <color rgb="FFF8696B"/>
      </colorScale>
    </cfRule>
    <cfRule type="colorScale" priority="1779">
      <colorScale>
        <cfvo type="min"/>
        <cfvo type="max"/>
        <color rgb="FFFCFCFF"/>
        <color rgb="FFF8696B"/>
      </colorScale>
    </cfRule>
    <cfRule type="colorScale" priority="1770">
      <colorScale>
        <cfvo type="min"/>
        <cfvo type="max"/>
        <color rgb="FFFCFCFF"/>
        <color rgb="FFF8696B"/>
      </colorScale>
    </cfRule>
    <cfRule type="colorScale" priority="1729">
      <colorScale>
        <cfvo type="min"/>
        <cfvo type="max"/>
        <color rgb="FFFCFCFF"/>
        <color rgb="FFF8696B"/>
      </colorScale>
    </cfRule>
    <cfRule type="colorScale" priority="1766">
      <colorScale>
        <cfvo type="min"/>
        <cfvo type="max"/>
        <color rgb="FFFCFCFF"/>
        <color rgb="FFF8696B"/>
      </colorScale>
    </cfRule>
    <cfRule type="colorScale" priority="1784">
      <colorScale>
        <cfvo type="min"/>
        <cfvo type="max"/>
        <color rgb="FFFCFCFF"/>
        <color rgb="FFF8696B"/>
      </colorScale>
    </cfRule>
  </conditionalFormatting>
  <conditionalFormatting sqref="C59:M59">
    <cfRule type="colorScale" priority="1718">
      <colorScale>
        <cfvo type="min"/>
        <cfvo type="max"/>
        <color rgb="FFFCFCFF"/>
        <color rgb="FFF8696B"/>
      </colorScale>
    </cfRule>
    <cfRule type="colorScale" priority="1720">
      <colorScale>
        <cfvo type="min"/>
        <cfvo type="max"/>
        <color rgb="FFFCFCFF"/>
        <color rgb="FFF8696B"/>
      </colorScale>
    </cfRule>
    <cfRule type="colorScale" priority="1721">
      <colorScale>
        <cfvo type="min"/>
        <cfvo type="max"/>
        <color rgb="FFF8696B"/>
        <color rgb="FFFCFCFF"/>
      </colorScale>
    </cfRule>
    <cfRule type="colorScale" priority="1717">
      <colorScale>
        <cfvo type="min"/>
        <cfvo type="max"/>
        <color rgb="FFFCFCFF"/>
        <color rgb="FFF8696B"/>
      </colorScale>
    </cfRule>
    <cfRule type="colorScale" priority="1722">
      <colorScale>
        <cfvo type="min"/>
        <cfvo type="max"/>
        <color rgb="FFFCFCFF"/>
        <color rgb="FFF8696B"/>
      </colorScale>
    </cfRule>
    <cfRule type="colorScale" priority="1724">
      <colorScale>
        <cfvo type="min"/>
        <cfvo type="max"/>
        <color rgb="FFFCFCFF"/>
        <color rgb="FFF8696B"/>
      </colorScale>
    </cfRule>
    <cfRule type="colorScale" priority="1728">
      <colorScale>
        <cfvo type="min"/>
        <cfvo type="max"/>
        <color rgb="FFF8696B"/>
        <color rgb="FFFCFCFF"/>
      </colorScale>
    </cfRule>
    <cfRule type="colorScale" priority="1705">
      <colorScale>
        <cfvo type="min"/>
        <cfvo type="max"/>
        <color rgb="FFFCFCFF"/>
        <color rgb="FFF8696B"/>
      </colorScale>
    </cfRule>
    <cfRule type="colorScale" priority="1716">
      <colorScale>
        <cfvo type="min"/>
        <cfvo type="max"/>
        <color rgb="FFFCFCFF"/>
        <color rgb="FFF8696B"/>
      </colorScale>
    </cfRule>
    <cfRule type="colorScale" priority="1715">
      <colorScale>
        <cfvo type="min"/>
        <cfvo type="max"/>
        <color rgb="FFFCFCFF"/>
        <color rgb="FFF8696B"/>
      </colorScale>
    </cfRule>
    <cfRule type="colorScale" priority="1688">
      <colorScale>
        <cfvo type="min"/>
        <cfvo type="max"/>
        <color rgb="FFFCFCFF"/>
        <color rgb="FFF8696B"/>
      </colorScale>
    </cfRule>
    <cfRule type="colorScale" priority="1687">
      <colorScale>
        <cfvo type="min"/>
        <cfvo type="max"/>
        <color rgb="FFFCFCFF"/>
        <color rgb="FFF8696B"/>
      </colorScale>
    </cfRule>
    <cfRule type="colorScale" priority="1719">
      <colorScale>
        <cfvo type="min"/>
        <cfvo type="max"/>
        <color rgb="FFFCFCFF"/>
        <color rgb="FFF8696B"/>
      </colorScale>
    </cfRule>
  </conditionalFormatting>
  <conditionalFormatting sqref="C60:M60">
    <cfRule type="colorScale" priority="1680">
      <colorScale>
        <cfvo type="min"/>
        <cfvo type="max"/>
        <color rgb="FFFCFCFF"/>
        <color rgb="FFF8696B"/>
      </colorScale>
    </cfRule>
    <cfRule type="colorScale" priority="1645">
      <colorScale>
        <cfvo type="min"/>
        <cfvo type="max"/>
        <color rgb="FFFCFCFF"/>
        <color rgb="FFF8696B"/>
      </colorScale>
    </cfRule>
    <cfRule type="colorScale" priority="1646">
      <colorScale>
        <cfvo type="min"/>
        <cfvo type="max"/>
        <color rgb="FFFCFCFF"/>
        <color rgb="FFF8696B"/>
      </colorScale>
    </cfRule>
    <cfRule type="colorScale" priority="1686">
      <colorScale>
        <cfvo type="min"/>
        <cfvo type="max"/>
        <color rgb="FFF8696B"/>
        <color rgb="FFFCFCFF"/>
      </colorScale>
    </cfRule>
    <cfRule type="colorScale" priority="1682">
      <colorScale>
        <cfvo type="min"/>
        <cfvo type="max"/>
        <color rgb="FFFCFCFF"/>
        <color rgb="FFF8696B"/>
      </colorScale>
    </cfRule>
    <cfRule type="colorScale" priority="1663">
      <colorScale>
        <cfvo type="min"/>
        <cfvo type="max"/>
        <color rgb="FFFCFCFF"/>
        <color rgb="FFF8696B"/>
      </colorScale>
    </cfRule>
    <cfRule type="colorScale" priority="1673">
      <colorScale>
        <cfvo type="min"/>
        <cfvo type="max"/>
        <color rgb="FFFCFCFF"/>
        <color rgb="FFF8696B"/>
      </colorScale>
    </cfRule>
    <cfRule type="colorScale" priority="1674">
      <colorScale>
        <cfvo type="min"/>
        <cfvo type="max"/>
        <color rgb="FFFCFCFF"/>
        <color rgb="FFF8696B"/>
      </colorScale>
    </cfRule>
    <cfRule type="colorScale" priority="1675">
      <colorScale>
        <cfvo type="min"/>
        <cfvo type="max"/>
        <color rgb="FFFCFCFF"/>
        <color rgb="FFF8696B"/>
      </colorScale>
    </cfRule>
    <cfRule type="colorScale" priority="1676">
      <colorScale>
        <cfvo type="min"/>
        <cfvo type="max"/>
        <color rgb="FFFCFCFF"/>
        <color rgb="FFF8696B"/>
      </colorScale>
    </cfRule>
    <cfRule type="colorScale" priority="1677">
      <colorScale>
        <cfvo type="min"/>
        <cfvo type="max"/>
        <color rgb="FFFCFCFF"/>
        <color rgb="FFF8696B"/>
      </colorScale>
    </cfRule>
    <cfRule type="colorScale" priority="1678">
      <colorScale>
        <cfvo type="min"/>
        <cfvo type="max"/>
        <color rgb="FFFCFCFF"/>
        <color rgb="FFF8696B"/>
      </colorScale>
    </cfRule>
    <cfRule type="colorScale" priority="1679">
      <colorScale>
        <cfvo type="min"/>
        <cfvo type="max"/>
        <color rgb="FFF8696B"/>
        <color rgb="FFFCFCFF"/>
      </colorScale>
    </cfRule>
  </conditionalFormatting>
  <conditionalFormatting sqref="C61:M61">
    <cfRule type="colorScale" priority="1640">
      <colorScale>
        <cfvo type="min"/>
        <cfvo type="max"/>
        <color rgb="FFFCFCFF"/>
        <color rgb="FFF8696B"/>
      </colorScale>
    </cfRule>
    <cfRule type="colorScale" priority="1633">
      <colorScale>
        <cfvo type="min"/>
        <cfvo type="max"/>
        <color rgb="FFFCFCFF"/>
        <color rgb="FFF8696B"/>
      </colorScale>
    </cfRule>
    <cfRule type="colorScale" priority="1644">
      <colorScale>
        <cfvo type="min"/>
        <cfvo type="max"/>
        <color rgb="FFF8696B"/>
        <color rgb="FFFCFCFF"/>
      </colorScale>
    </cfRule>
    <cfRule type="colorScale" priority="1604">
      <colorScale>
        <cfvo type="min"/>
        <cfvo type="max"/>
        <color rgb="FFFCFCFF"/>
        <color rgb="FFF8696B"/>
      </colorScale>
    </cfRule>
    <cfRule type="colorScale" priority="1603">
      <colorScale>
        <cfvo type="min"/>
        <cfvo type="max"/>
        <color rgb="FFFCFCFF"/>
        <color rgb="FFF8696B"/>
      </colorScale>
    </cfRule>
    <cfRule type="colorScale" priority="1635">
      <colorScale>
        <cfvo type="min"/>
        <cfvo type="max"/>
        <color rgb="FFFCFCFF"/>
        <color rgb="FFF8696B"/>
      </colorScale>
    </cfRule>
    <cfRule type="colorScale" priority="1636">
      <colorScale>
        <cfvo type="min"/>
        <cfvo type="max"/>
        <color rgb="FFFCFCFF"/>
        <color rgb="FFF8696B"/>
      </colorScale>
    </cfRule>
    <cfRule type="colorScale" priority="1621">
      <colorScale>
        <cfvo type="min"/>
        <cfvo type="max"/>
        <color rgb="FFFCFCFF"/>
        <color rgb="FFF8696B"/>
      </colorScale>
    </cfRule>
    <cfRule type="colorScale" priority="1638">
      <colorScale>
        <cfvo type="min"/>
        <cfvo type="max"/>
        <color rgb="FFFCFCFF"/>
        <color rgb="FFF8696B"/>
      </colorScale>
    </cfRule>
    <cfRule type="colorScale" priority="1631">
      <colorScale>
        <cfvo type="min"/>
        <cfvo type="max"/>
        <color rgb="FFFCFCFF"/>
        <color rgb="FFF8696B"/>
      </colorScale>
    </cfRule>
    <cfRule type="colorScale" priority="1632">
      <colorScale>
        <cfvo type="min"/>
        <cfvo type="max"/>
        <color rgb="FFFCFCFF"/>
        <color rgb="FFF8696B"/>
      </colorScale>
    </cfRule>
    <cfRule type="colorScale" priority="1637">
      <colorScale>
        <cfvo type="min"/>
        <cfvo type="max"/>
        <color rgb="FFF8696B"/>
        <color rgb="FFFCFCFF"/>
      </colorScale>
    </cfRule>
    <cfRule type="colorScale" priority="1634">
      <colorScale>
        <cfvo type="min"/>
        <cfvo type="max"/>
        <color rgb="FFFCFCFF"/>
        <color rgb="FFF8696B"/>
      </colorScale>
    </cfRule>
  </conditionalFormatting>
  <conditionalFormatting sqref="D29:L29">
    <cfRule type="colorScale" priority="279">
      <colorScale>
        <cfvo type="min"/>
        <cfvo type="max"/>
        <color rgb="FFFCFCFF"/>
        <color rgb="FFF8696B"/>
      </colorScale>
    </cfRule>
    <cfRule type="colorScale" priority="282">
      <colorScale>
        <cfvo type="min"/>
        <cfvo type="max"/>
        <color rgb="FFFCFCFF"/>
        <color rgb="FFF8696B"/>
      </colorScale>
    </cfRule>
    <cfRule type="colorScale" priority="280">
      <colorScale>
        <cfvo type="min"/>
        <cfvo type="max"/>
        <color rgb="FFF8696B"/>
        <color rgb="FFFCFCFF"/>
      </colorScale>
    </cfRule>
    <cfRule type="colorScale" priority="283">
      <colorScale>
        <cfvo type="min"/>
        <cfvo type="max"/>
        <color rgb="FFFCFCFF"/>
        <color rgb="FFF8696B"/>
      </colorScale>
    </cfRule>
    <cfRule type="colorScale" priority="284">
      <colorScale>
        <cfvo type="min"/>
        <cfvo type="max"/>
        <color rgb="FFF8696B"/>
        <color rgb="FFFCFCFF"/>
      </colorScale>
    </cfRule>
    <cfRule type="colorScale" priority="286">
      <colorScale>
        <cfvo type="min"/>
        <cfvo type="max"/>
        <color rgb="FFFCFCFF"/>
        <color rgb="FFF8696B"/>
      </colorScale>
    </cfRule>
    <cfRule type="colorScale" priority="288">
      <colorScale>
        <cfvo type="min"/>
        <cfvo type="max"/>
        <color rgb="FFF8696B"/>
        <color rgb="FFFCFCFF"/>
      </colorScale>
    </cfRule>
    <cfRule type="colorScale" priority="278">
      <colorScale>
        <cfvo type="min"/>
        <cfvo type="max"/>
        <color rgb="FFFCFCFF"/>
        <color rgb="FFF8696B"/>
      </colorScale>
    </cfRule>
    <cfRule type="colorScale" priority="287">
      <colorScale>
        <cfvo type="min"/>
        <cfvo type="max"/>
        <color rgb="FFFCFCFF"/>
        <color rgb="FFF8696B"/>
      </colorScale>
    </cfRule>
  </conditionalFormatting>
  <conditionalFormatting sqref="D30:L30">
    <cfRule type="colorScale" priority="233">
      <colorScale>
        <cfvo type="min"/>
        <cfvo type="max"/>
        <color rgb="FFF8696B"/>
        <color rgb="FFFCFCFF"/>
      </colorScale>
    </cfRule>
    <cfRule type="colorScale" priority="235">
      <colorScale>
        <cfvo type="min"/>
        <cfvo type="max"/>
        <color rgb="FFFCFCFF"/>
        <color rgb="FFF8696B"/>
      </colorScale>
    </cfRule>
    <cfRule type="colorScale" priority="236">
      <colorScale>
        <cfvo type="min"/>
        <cfvo type="max"/>
        <color rgb="FFFCFCFF"/>
        <color rgb="FFF8696B"/>
      </colorScale>
    </cfRule>
    <cfRule type="colorScale" priority="237">
      <colorScale>
        <cfvo type="min"/>
        <cfvo type="max"/>
        <color rgb="FFF8696B"/>
        <color rgb="FFFCFCFF"/>
      </colorScale>
    </cfRule>
    <cfRule type="colorScale" priority="232">
      <colorScale>
        <cfvo type="min"/>
        <cfvo type="max"/>
        <color rgb="FFFCFCFF"/>
        <color rgb="FFF8696B"/>
      </colorScale>
    </cfRule>
    <cfRule type="colorScale" priority="103">
      <colorScale>
        <cfvo type="min"/>
        <cfvo type="max"/>
        <color rgb="FFF8696B"/>
        <color rgb="FFFCFCFF"/>
      </colorScale>
    </cfRule>
    <cfRule type="colorScale" priority="102">
      <colorScale>
        <cfvo type="min"/>
        <cfvo type="max"/>
        <color rgb="FFFCFCFF"/>
        <color rgb="FFF8696B"/>
      </colorScale>
    </cfRule>
    <cfRule type="colorScale" priority="101">
      <colorScale>
        <cfvo type="min"/>
        <cfvo type="max"/>
        <color rgb="FFFCFCFF"/>
        <color rgb="FFF8696B"/>
      </colorScale>
    </cfRule>
    <cfRule type="colorScale" priority="107">
      <colorScale>
        <cfvo type="min"/>
        <cfvo type="max"/>
        <color rgb="FFF8696B"/>
        <color rgb="FFFCFCFF"/>
      </colorScale>
    </cfRule>
    <cfRule type="colorScale" priority="109">
      <colorScale>
        <cfvo type="min"/>
        <cfvo type="max"/>
        <color rgb="FFFCFCFF"/>
        <color rgb="FFF8696B"/>
      </colorScale>
    </cfRule>
    <cfRule type="colorScale" priority="105">
      <colorScale>
        <cfvo type="min"/>
        <cfvo type="max"/>
        <color rgb="FFFCFCFF"/>
        <color rgb="FFF8696B"/>
      </colorScale>
    </cfRule>
    <cfRule type="colorScale" priority="231">
      <colorScale>
        <cfvo type="min"/>
        <cfvo type="max"/>
        <color rgb="FFFCFCFF"/>
        <color rgb="FFF8696B"/>
      </colorScale>
    </cfRule>
    <cfRule type="colorScale" priority="106">
      <colorScale>
        <cfvo type="min"/>
        <cfvo type="max"/>
        <color rgb="FFFCFCFF"/>
        <color rgb="FFF8696B"/>
      </colorScale>
    </cfRule>
    <cfRule type="colorScale" priority="110">
      <colorScale>
        <cfvo type="min"/>
        <cfvo type="max"/>
        <color rgb="FFFCFCFF"/>
        <color rgb="FFF8696B"/>
      </colorScale>
    </cfRule>
    <cfRule type="colorScale" priority="111">
      <colorScale>
        <cfvo type="min"/>
        <cfvo type="max"/>
        <color rgb="FFF8696B"/>
        <color rgb="FFFCFCFF"/>
      </colorScale>
    </cfRule>
    <cfRule type="colorScale" priority="227">
      <colorScale>
        <cfvo type="min"/>
        <cfvo type="max"/>
        <color rgb="FFFCFCFF"/>
        <color rgb="FFF8696B"/>
      </colorScale>
    </cfRule>
    <cfRule type="colorScale" priority="228">
      <colorScale>
        <cfvo type="min"/>
        <cfvo type="max"/>
        <color rgb="FFFCFCFF"/>
        <color rgb="FFF8696B"/>
      </colorScale>
    </cfRule>
    <cfRule type="colorScale" priority="229">
      <colorScale>
        <cfvo type="min"/>
        <cfvo type="max"/>
        <color rgb="FFF8696B"/>
        <color rgb="FFFCFCFF"/>
      </colorScale>
    </cfRule>
  </conditionalFormatting>
  <conditionalFormatting sqref="D31:L31">
    <cfRule type="colorScale" priority="68">
      <colorScale>
        <cfvo type="min"/>
        <cfvo type="max"/>
        <color rgb="FFFCFCFF"/>
        <color rgb="FFF8696B"/>
      </colorScale>
    </cfRule>
    <cfRule type="colorScale" priority="67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max"/>
        <color rgb="FFFCFCFF"/>
        <color rgb="FFF8696B"/>
      </colorScale>
    </cfRule>
    <cfRule type="colorScale" priority="185">
      <colorScale>
        <cfvo type="min"/>
        <cfvo type="max"/>
        <color rgb="FFFCFCFF"/>
        <color rgb="FFF8696B"/>
      </colorScale>
    </cfRule>
    <cfRule type="colorScale" priority="186">
      <colorScale>
        <cfvo type="min"/>
        <cfvo type="max"/>
        <color rgb="FFFCFCFF"/>
        <color rgb="FFF8696B"/>
      </colorScale>
    </cfRule>
    <cfRule type="colorScale" priority="187">
      <colorScale>
        <cfvo type="min"/>
        <cfvo type="max"/>
        <color rgb="FFF8696B"/>
        <color rgb="FFFCFCFF"/>
      </colorScale>
    </cfRule>
    <cfRule type="colorScale" priority="65">
      <colorScale>
        <cfvo type="min"/>
        <cfvo type="max"/>
        <color rgb="FFF8696B"/>
        <color rgb="FFFCFCFF"/>
      </colorScale>
    </cfRule>
    <cfRule type="colorScale" priority="64">
      <colorScale>
        <cfvo type="min"/>
        <cfvo type="max"/>
        <color rgb="FFFCFCFF"/>
        <color rgb="FFF8696B"/>
      </colorScale>
    </cfRule>
    <cfRule type="colorScale" priority="195">
      <colorScale>
        <cfvo type="min"/>
        <cfvo type="max"/>
        <color rgb="FFF8696B"/>
        <color rgb="FFFCFCFF"/>
      </colorScale>
    </cfRule>
    <cfRule type="colorScale" priority="63">
      <colorScale>
        <cfvo type="min"/>
        <cfvo type="max"/>
        <color rgb="FFFCFCFF"/>
        <color rgb="FFF8696B"/>
      </colorScale>
    </cfRule>
    <cfRule type="colorScale" priority="69">
      <colorScale>
        <cfvo type="min"/>
        <cfvo type="max"/>
        <color rgb="FFF8696B"/>
        <color rgb="FFFCFCFF"/>
      </colorScale>
    </cfRule>
    <cfRule type="colorScale" priority="61">
      <colorScale>
        <cfvo type="min"/>
        <cfvo type="max"/>
        <color rgb="FFF8696B"/>
        <color rgb="FFFCFCFF"/>
      </colorScale>
    </cfRule>
    <cfRule type="colorScale" priority="194">
      <colorScale>
        <cfvo type="min"/>
        <cfvo type="max"/>
        <color rgb="FFFCFCFF"/>
        <color rgb="FFF8696B"/>
      </colorScale>
    </cfRule>
    <cfRule type="colorScale" priority="193">
      <colorScale>
        <cfvo type="min"/>
        <cfvo type="max"/>
        <color rgb="FFFCFCFF"/>
        <color rgb="FFF8696B"/>
      </colorScale>
    </cfRule>
    <cfRule type="colorScale" priority="189">
      <colorScale>
        <cfvo type="min"/>
        <cfvo type="max"/>
        <color rgb="FFFCFCFF"/>
        <color rgb="FFF8696B"/>
      </colorScale>
    </cfRule>
    <cfRule type="colorScale" priority="60">
      <colorScale>
        <cfvo type="min"/>
        <cfvo type="max"/>
        <color rgb="FFFCFCFF"/>
        <color rgb="FFF8696B"/>
      </colorScale>
    </cfRule>
    <cfRule type="colorScale" priority="191">
      <colorScale>
        <cfvo type="min"/>
        <cfvo type="max"/>
        <color rgb="FFF8696B"/>
        <color rgb="FFFCFCFF"/>
      </colorScale>
    </cfRule>
    <cfRule type="colorScale" priority="190">
      <colorScale>
        <cfvo type="min"/>
        <cfvo type="max"/>
        <color rgb="FFFCFCFF"/>
        <color rgb="FFF8696B"/>
      </colorScale>
    </cfRule>
  </conditionalFormatting>
  <conditionalFormatting sqref="D32:L32">
    <cfRule type="colorScale" priority="144">
      <colorScale>
        <cfvo type="min"/>
        <cfvo type="max"/>
        <color rgb="FFFCFCFF"/>
        <color rgb="FFF8696B"/>
      </colorScale>
    </cfRule>
    <cfRule type="colorScale" priority="143">
      <colorScale>
        <cfvo type="min"/>
        <cfvo type="max"/>
        <color rgb="FFFCFCFF"/>
        <color rgb="FFF8696B"/>
      </colorScale>
    </cfRule>
    <cfRule type="colorScale" priority="22">
      <colorScale>
        <cfvo type="min"/>
        <cfvo type="max"/>
        <color rgb="FFFCFCFF"/>
        <color rgb="FFF8696B"/>
      </colorScale>
    </cfRule>
    <cfRule type="colorScale" priority="145">
      <colorScale>
        <cfvo type="min"/>
        <cfvo type="max"/>
        <color rgb="FFF8696B"/>
        <color rgb="FFFCFCFF"/>
      </colorScale>
    </cfRule>
    <cfRule type="colorScale" priority="147">
      <colorScale>
        <cfvo type="min"/>
        <cfvo type="max"/>
        <color rgb="FFFCFCFF"/>
        <color rgb="FFF8696B"/>
      </colorScale>
    </cfRule>
    <cfRule type="colorScale" priority="148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max"/>
        <color rgb="FFF8696B"/>
        <color rgb="FFFCFCFF"/>
      </colorScale>
    </cfRule>
    <cfRule type="colorScale" priority="25">
      <colorScale>
        <cfvo type="min"/>
        <cfvo type="max"/>
        <color rgb="FFFCFCFF"/>
        <color rgb="FFF8696B"/>
      </colorScale>
    </cfRule>
    <cfRule type="colorScale" priority="149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max"/>
        <color rgb="FFFCFCFF"/>
        <color rgb="FFF8696B"/>
      </colorScale>
    </cfRule>
    <cfRule type="colorScale" priority="152">
      <colorScale>
        <cfvo type="min"/>
        <cfvo type="max"/>
        <color rgb="FFFCFCFF"/>
        <color rgb="FFF8696B"/>
      </colorScale>
    </cfRule>
    <cfRule type="colorScale" priority="153">
      <colorScale>
        <cfvo type="min"/>
        <cfvo type="max"/>
        <color rgb="FFF8696B"/>
        <color rgb="FFFCFCFF"/>
      </colorScale>
    </cfRule>
    <cfRule type="colorScale" priority="17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max"/>
        <color rgb="FFF8696B"/>
        <color rgb="FFFCFCFF"/>
      </colorScale>
    </cfRule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max"/>
        <color rgb="FFF8696B"/>
        <color rgb="FFFCFCFF"/>
      </colorScale>
    </cfRule>
    <cfRule type="colorScale" priority="151">
      <colorScale>
        <cfvo type="min"/>
        <cfvo type="max"/>
        <color rgb="FFFCFCFF"/>
        <color rgb="FFF8696B"/>
      </colorScale>
    </cfRule>
  </conditionalFormatting>
  <conditionalFormatting sqref="E58:M58">
    <cfRule type="colorScale" priority="1757">
      <colorScale>
        <cfvo type="min"/>
        <cfvo type="max"/>
        <color rgb="FFFCFCFF"/>
        <color rgb="FFF8696B"/>
      </colorScale>
    </cfRule>
    <cfRule type="colorScale" priority="1755">
      <colorScale>
        <cfvo type="min"/>
        <cfvo type="max"/>
        <color rgb="FFF8696B"/>
        <color rgb="FFFCFCFF"/>
      </colorScale>
    </cfRule>
    <cfRule type="colorScale" priority="1759">
      <colorScale>
        <cfvo type="min"/>
        <cfvo type="max"/>
        <color rgb="FFF8696B"/>
        <color rgb="FFFCFCFF"/>
      </colorScale>
    </cfRule>
    <cfRule type="colorScale" priority="1763">
      <colorScale>
        <cfvo type="min"/>
        <cfvo type="max"/>
        <color rgb="FFF8696B"/>
        <color rgb="FFFCFCFF"/>
      </colorScale>
    </cfRule>
    <cfRule type="colorScale" priority="1758">
      <colorScale>
        <cfvo type="min"/>
        <cfvo type="max"/>
        <color rgb="FFFCFCFF"/>
        <color rgb="FFF8696B"/>
      </colorScale>
    </cfRule>
    <cfRule type="colorScale" priority="1761">
      <colorScale>
        <cfvo type="min"/>
        <cfvo type="max"/>
        <color rgb="FFFCFCFF"/>
        <color rgb="FFF8696B"/>
      </colorScale>
    </cfRule>
    <cfRule type="colorScale" priority="1753">
      <colorScale>
        <cfvo type="min"/>
        <cfvo type="max"/>
        <color rgb="FFFCFCFF"/>
        <color rgb="FFF8696B"/>
      </colorScale>
    </cfRule>
    <cfRule type="colorScale" priority="1754">
      <colorScale>
        <cfvo type="min"/>
        <cfvo type="max"/>
        <color rgb="FFFCFCFF"/>
        <color rgb="FFF8696B"/>
      </colorScale>
    </cfRule>
    <cfRule type="colorScale" priority="1762">
      <colorScale>
        <cfvo type="min"/>
        <cfvo type="max"/>
        <color rgb="FFFCFCFF"/>
        <color rgb="FFF8696B"/>
      </colorScale>
    </cfRule>
  </conditionalFormatting>
  <conditionalFormatting sqref="E59:M59">
    <cfRule type="colorScale" priority="1711">
      <colorScale>
        <cfvo type="min"/>
        <cfvo type="max"/>
        <color rgb="FFFCFCFF"/>
        <color rgb="FFF8696B"/>
      </colorScale>
    </cfRule>
    <cfRule type="colorScale" priority="1710">
      <colorScale>
        <cfvo type="min"/>
        <cfvo type="max"/>
        <color rgb="FFFCFCFF"/>
        <color rgb="FFF8696B"/>
      </colorScale>
    </cfRule>
    <cfRule type="colorScale" priority="1702">
      <colorScale>
        <cfvo type="min"/>
        <cfvo type="max"/>
        <color rgb="FFFCFCFF"/>
        <color rgb="FFF8696B"/>
      </colorScale>
    </cfRule>
    <cfRule type="colorScale" priority="1712">
      <colorScale>
        <cfvo type="min"/>
        <cfvo type="max"/>
        <color rgb="FFF8696B"/>
        <color rgb="FFFCFCFF"/>
      </colorScale>
    </cfRule>
    <cfRule type="colorScale" priority="1708">
      <colorScale>
        <cfvo type="min"/>
        <cfvo type="max"/>
        <color rgb="FFF8696B"/>
        <color rgb="FFFCFCFF"/>
      </colorScale>
    </cfRule>
    <cfRule type="colorScale" priority="1707">
      <colorScale>
        <cfvo type="min"/>
        <cfvo type="max"/>
        <color rgb="FFFCFCFF"/>
        <color rgb="FFF8696B"/>
      </colorScale>
    </cfRule>
    <cfRule type="colorScale" priority="1706">
      <colorScale>
        <cfvo type="min"/>
        <cfvo type="max"/>
        <color rgb="FFFCFCFF"/>
        <color rgb="FFF8696B"/>
      </colorScale>
    </cfRule>
    <cfRule type="colorScale" priority="1704">
      <colorScale>
        <cfvo type="min"/>
        <cfvo type="max"/>
        <color rgb="FFF8696B"/>
        <color rgb="FFFCFCFF"/>
      </colorScale>
    </cfRule>
    <cfRule type="colorScale" priority="1703">
      <colorScale>
        <cfvo type="min"/>
        <cfvo type="max"/>
        <color rgb="FFFCFCFF"/>
        <color rgb="FFF8696B"/>
      </colorScale>
    </cfRule>
  </conditionalFormatting>
  <conditionalFormatting sqref="E60:M60">
    <cfRule type="colorScale" priority="1660">
      <colorScale>
        <cfvo type="min"/>
        <cfvo type="max"/>
        <color rgb="FFFCFCFF"/>
        <color rgb="FFF8696B"/>
      </colorScale>
    </cfRule>
    <cfRule type="colorScale" priority="1661">
      <colorScale>
        <cfvo type="min"/>
        <cfvo type="max"/>
        <color rgb="FFFCFCFF"/>
        <color rgb="FFF8696B"/>
      </colorScale>
    </cfRule>
    <cfRule type="colorScale" priority="1665">
      <colorScale>
        <cfvo type="min"/>
        <cfvo type="max"/>
        <color rgb="FFFCFCFF"/>
        <color rgb="FFF8696B"/>
      </colorScale>
    </cfRule>
    <cfRule type="colorScale" priority="1666">
      <colorScale>
        <cfvo type="min"/>
        <cfvo type="max"/>
        <color rgb="FFF8696B"/>
        <color rgb="FFFCFCFF"/>
      </colorScale>
    </cfRule>
    <cfRule type="colorScale" priority="1668">
      <colorScale>
        <cfvo type="min"/>
        <cfvo type="max"/>
        <color rgb="FFFCFCFF"/>
        <color rgb="FFF8696B"/>
      </colorScale>
    </cfRule>
    <cfRule type="colorScale" priority="1669">
      <colorScale>
        <cfvo type="min"/>
        <cfvo type="max"/>
        <color rgb="FFFCFCFF"/>
        <color rgb="FFF8696B"/>
      </colorScale>
    </cfRule>
    <cfRule type="colorScale" priority="1662">
      <colorScale>
        <cfvo type="min"/>
        <cfvo type="max"/>
        <color rgb="FFF8696B"/>
        <color rgb="FFFCFCFF"/>
      </colorScale>
    </cfRule>
    <cfRule type="colorScale" priority="1670">
      <colorScale>
        <cfvo type="min"/>
        <cfvo type="max"/>
        <color rgb="FFF8696B"/>
        <color rgb="FFFCFCFF"/>
      </colorScale>
    </cfRule>
    <cfRule type="colorScale" priority="1664">
      <colorScale>
        <cfvo type="min"/>
        <cfvo type="max"/>
        <color rgb="FFFCFCFF"/>
        <color rgb="FFF8696B"/>
      </colorScale>
    </cfRule>
  </conditionalFormatting>
  <conditionalFormatting sqref="E61:M61">
    <cfRule type="colorScale" priority="1618">
      <colorScale>
        <cfvo type="min"/>
        <cfvo type="max"/>
        <color rgb="FFFCFCFF"/>
        <color rgb="FFF8696B"/>
      </colorScale>
    </cfRule>
    <cfRule type="colorScale" priority="1626">
      <colorScale>
        <cfvo type="min"/>
        <cfvo type="max"/>
        <color rgb="FFFCFCFF"/>
        <color rgb="FFF8696B"/>
      </colorScale>
    </cfRule>
    <cfRule type="colorScale" priority="1620">
      <colorScale>
        <cfvo type="min"/>
        <cfvo type="max"/>
        <color rgb="FFF8696B"/>
        <color rgb="FFFCFCFF"/>
      </colorScale>
    </cfRule>
    <cfRule type="colorScale" priority="1627">
      <colorScale>
        <cfvo type="min"/>
        <cfvo type="max"/>
        <color rgb="FFFCFCFF"/>
        <color rgb="FFF8696B"/>
      </colorScale>
    </cfRule>
    <cfRule type="colorScale" priority="1623">
      <colorScale>
        <cfvo type="min"/>
        <cfvo type="max"/>
        <color rgb="FFFCFCFF"/>
        <color rgb="FFF8696B"/>
      </colorScale>
    </cfRule>
    <cfRule type="colorScale" priority="1628">
      <colorScale>
        <cfvo type="min"/>
        <cfvo type="max"/>
        <color rgb="FFF8696B"/>
        <color rgb="FFFCFCFF"/>
      </colorScale>
    </cfRule>
    <cfRule type="colorScale" priority="1624">
      <colorScale>
        <cfvo type="min"/>
        <cfvo type="max"/>
        <color rgb="FFF8696B"/>
        <color rgb="FFFCFCFF"/>
      </colorScale>
    </cfRule>
    <cfRule type="colorScale" priority="1622">
      <colorScale>
        <cfvo type="min"/>
        <cfvo type="max"/>
        <color rgb="FFFCFCFF"/>
        <color rgb="FFF8696B"/>
      </colorScale>
    </cfRule>
    <cfRule type="colorScale" priority="1619">
      <colorScale>
        <cfvo type="min"/>
        <cfvo type="max"/>
        <color rgb="FFFCFCFF"/>
        <color rgb="FFF8696B"/>
      </colorScale>
    </cfRule>
  </conditionalFormatting>
  <conditionalFormatting sqref="F29:K29">
    <cfRule type="colorScale" priority="275">
      <colorScale>
        <cfvo type="min"/>
        <cfvo type="max"/>
        <color rgb="FFFCFCFF"/>
        <color rgb="FFF8696B"/>
      </colorScale>
    </cfRule>
    <cfRule type="colorScale" priority="276">
      <colorScale>
        <cfvo type="min"/>
        <cfvo type="max"/>
        <color rgb="FFFCFCFF"/>
        <color rgb="FFF8696B"/>
      </colorScale>
    </cfRule>
    <cfRule type="colorScale" priority="271">
      <colorScale>
        <cfvo type="min"/>
        <cfvo type="max"/>
        <color rgb="FFFCFCFF"/>
        <color rgb="FFF8696B"/>
      </colorScale>
    </cfRule>
  </conditionalFormatting>
  <conditionalFormatting sqref="F30:K30">
    <cfRule type="colorScale" priority="224">
      <colorScale>
        <cfvo type="min"/>
        <cfvo type="max"/>
        <color rgb="FFFCFCFF"/>
        <color rgb="FFF8696B"/>
      </colorScale>
    </cfRule>
    <cfRule type="colorScale" priority="223">
      <colorScale>
        <cfvo type="min"/>
        <cfvo type="max"/>
        <color rgb="FFFCFCFF"/>
        <color rgb="FFF8696B"/>
      </colorScale>
    </cfRule>
    <cfRule type="colorScale" priority="225">
      <colorScale>
        <cfvo type="min"/>
        <cfvo type="max"/>
        <color rgb="FFFCFCFF"/>
        <color rgb="FFF8696B"/>
      </colorScale>
    </cfRule>
    <cfRule type="colorScale" priority="98">
      <colorScale>
        <cfvo type="min"/>
        <cfvo type="max"/>
        <color rgb="FFFCFCFF"/>
        <color rgb="FFF8696B"/>
      </colorScale>
    </cfRule>
    <cfRule type="colorScale" priority="99">
      <colorScale>
        <cfvo type="min"/>
        <cfvo type="max"/>
        <color rgb="FFFCFCFF"/>
        <color rgb="FFF8696B"/>
      </colorScale>
    </cfRule>
    <cfRule type="colorScale" priority="97">
      <colorScale>
        <cfvo type="min"/>
        <cfvo type="max"/>
        <color rgb="FFFCFCFF"/>
        <color rgb="FFF8696B"/>
      </colorScale>
    </cfRule>
  </conditionalFormatting>
  <conditionalFormatting sqref="F31:K31">
    <cfRule type="colorScale" priority="56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max"/>
        <color rgb="FFFCFCFF"/>
        <color rgb="FFF8696B"/>
      </colorScale>
    </cfRule>
    <cfRule type="colorScale" priority="181">
      <colorScale>
        <cfvo type="min"/>
        <cfvo type="max"/>
        <color rgb="FFFCFCFF"/>
        <color rgb="FFF8696B"/>
      </colorScale>
    </cfRule>
    <cfRule type="colorScale" priority="182">
      <colorScale>
        <cfvo type="min"/>
        <cfvo type="max"/>
        <color rgb="FFFCFCFF"/>
        <color rgb="FFF8696B"/>
      </colorScale>
    </cfRule>
    <cfRule type="colorScale" priority="183">
      <colorScale>
        <cfvo type="min"/>
        <cfvo type="max"/>
        <color rgb="FFFCFCFF"/>
        <color rgb="FFF8696B"/>
      </colorScale>
    </cfRule>
  </conditionalFormatting>
  <conditionalFormatting sqref="F32:K32">
    <cfRule type="colorScale" priority="15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max"/>
        <color rgb="FFFCFCFF"/>
        <color rgb="FFF8696B"/>
      </colorScale>
    </cfRule>
    <cfRule type="colorScale" priority="14">
      <colorScale>
        <cfvo type="min"/>
        <cfvo type="max"/>
        <color rgb="FFFCFCFF"/>
        <color rgb="FFF8696B"/>
      </colorScale>
    </cfRule>
    <cfRule type="colorScale" priority="139">
      <colorScale>
        <cfvo type="min"/>
        <cfvo type="max"/>
        <color rgb="FFFCFCFF"/>
        <color rgb="FFF8696B"/>
      </colorScale>
    </cfRule>
    <cfRule type="colorScale" priority="141">
      <colorScale>
        <cfvo type="min"/>
        <cfvo type="max"/>
        <color rgb="FFFCFCFF"/>
        <color rgb="FFF8696B"/>
      </colorScale>
    </cfRule>
    <cfRule type="colorScale" priority="140">
      <colorScale>
        <cfvo type="min"/>
        <cfvo type="max"/>
        <color rgb="FFFCFCFF"/>
        <color rgb="FFF8696B"/>
      </colorScale>
    </cfRule>
  </conditionalFormatting>
  <conditionalFormatting sqref="F29:L29">
    <cfRule type="colorScale" priority="266">
      <colorScale>
        <cfvo type="min"/>
        <cfvo type="max"/>
        <color rgb="FFFCFCFF"/>
        <color rgb="FFF8696B"/>
      </colorScale>
    </cfRule>
    <cfRule type="colorScale" priority="277">
      <colorScale>
        <cfvo type="min"/>
        <cfvo type="max"/>
        <color rgb="FFF8696B"/>
        <color rgb="FFFCFCFF"/>
      </colorScale>
    </cfRule>
    <cfRule type="colorScale" priority="267">
      <colorScale>
        <cfvo type="min"/>
        <cfvo type="max"/>
        <color rgb="FFFCFCFF"/>
        <color rgb="FFF8696B"/>
      </colorScale>
    </cfRule>
  </conditionalFormatting>
  <conditionalFormatting sqref="F30:L30">
    <cfRule type="colorScale" priority="95">
      <colorScale>
        <cfvo type="min"/>
        <cfvo type="max"/>
        <color rgb="FFFCFCFF"/>
        <color rgb="FFF8696B"/>
      </colorScale>
    </cfRule>
    <cfRule type="colorScale" priority="96">
      <colorScale>
        <cfvo type="min"/>
        <cfvo type="max"/>
        <color rgb="FFFCFCFF"/>
        <color rgb="FFF8696B"/>
      </colorScale>
    </cfRule>
    <cfRule type="colorScale" priority="222">
      <colorScale>
        <cfvo type="min"/>
        <cfvo type="max"/>
        <color rgb="FFFCFCFF"/>
        <color rgb="FFF8696B"/>
      </colorScale>
    </cfRule>
    <cfRule type="colorScale" priority="100">
      <colorScale>
        <cfvo type="min"/>
        <cfvo type="max"/>
        <color rgb="FFF8696B"/>
        <color rgb="FFFCFCFF"/>
      </colorScale>
    </cfRule>
    <cfRule type="colorScale" priority="221">
      <colorScale>
        <cfvo type="min"/>
        <cfvo type="max"/>
        <color rgb="FFFCFCFF"/>
        <color rgb="FFF8696B"/>
      </colorScale>
    </cfRule>
    <cfRule type="colorScale" priority="226">
      <colorScale>
        <cfvo type="min"/>
        <cfvo type="max"/>
        <color rgb="FFF8696B"/>
        <color rgb="FFFCFCFF"/>
      </colorScale>
    </cfRule>
  </conditionalFormatting>
  <conditionalFormatting sqref="F31:L31"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max"/>
        <color rgb="FFFCFCFF"/>
        <color rgb="FFF8696B"/>
      </colorScale>
    </cfRule>
    <cfRule type="colorScale" priority="180">
      <colorScale>
        <cfvo type="min"/>
        <cfvo type="max"/>
        <color rgb="FFFCFCFF"/>
        <color rgb="FFF8696B"/>
      </colorScale>
    </cfRule>
    <cfRule type="colorScale" priority="179">
      <colorScale>
        <cfvo type="min"/>
        <cfvo type="max"/>
        <color rgb="FFFCFCFF"/>
        <color rgb="FFF8696B"/>
      </colorScale>
    </cfRule>
    <cfRule type="colorScale" priority="184">
      <colorScale>
        <cfvo type="min"/>
        <cfvo type="max"/>
        <color rgb="FFF8696B"/>
        <color rgb="FFFCFCFF"/>
      </colorScale>
    </cfRule>
    <cfRule type="colorScale" priority="58">
      <colorScale>
        <cfvo type="min"/>
        <cfvo type="max"/>
        <color rgb="FFF8696B"/>
        <color rgb="FFFCFCFF"/>
      </colorScale>
    </cfRule>
  </conditionalFormatting>
  <conditionalFormatting sqref="F32:L32">
    <cfRule type="colorScale" priority="138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max"/>
        <color rgb="FFFCFCFF"/>
        <color rgb="FFF8696B"/>
      </colorScale>
    </cfRule>
    <cfRule type="colorScale" priority="142">
      <colorScale>
        <cfvo type="min"/>
        <cfvo type="max"/>
        <color rgb="FFF8696B"/>
        <color rgb="FFFCFCFF"/>
      </colorScale>
    </cfRule>
    <cfRule type="colorScale" priority="11">
      <colorScale>
        <cfvo type="min"/>
        <cfvo type="max"/>
        <color rgb="FFFCFCFF"/>
        <color rgb="FFF8696B"/>
      </colorScale>
    </cfRule>
    <cfRule type="colorScale" priority="137">
      <colorScale>
        <cfvo type="min"/>
        <cfvo type="max"/>
        <color rgb="FFFCFCFF"/>
        <color rgb="FFF8696B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G58:L58">
    <cfRule type="colorScale" priority="1746">
      <colorScale>
        <cfvo type="min"/>
        <cfvo type="max"/>
        <color rgb="FFFCFCFF"/>
        <color rgb="FFF8696B"/>
      </colorScale>
    </cfRule>
    <cfRule type="colorScale" priority="1751">
      <colorScale>
        <cfvo type="min"/>
        <cfvo type="max"/>
        <color rgb="FFFCFCFF"/>
        <color rgb="FFF8696B"/>
      </colorScale>
    </cfRule>
    <cfRule type="colorScale" priority="1750">
      <colorScale>
        <cfvo type="min"/>
        <cfvo type="max"/>
        <color rgb="FFFCFCFF"/>
        <color rgb="FFF8696B"/>
      </colorScale>
    </cfRule>
  </conditionalFormatting>
  <conditionalFormatting sqref="G59:L59">
    <cfRule type="colorScale" priority="1698">
      <colorScale>
        <cfvo type="min"/>
        <cfvo type="max"/>
        <color rgb="FFFCFCFF"/>
        <color rgb="FFF8696B"/>
      </colorScale>
    </cfRule>
    <cfRule type="colorScale" priority="1700">
      <colorScale>
        <cfvo type="min"/>
        <cfvo type="max"/>
        <color rgb="FFFCFCFF"/>
        <color rgb="FFF8696B"/>
      </colorScale>
    </cfRule>
    <cfRule type="colorScale" priority="1699">
      <colorScale>
        <cfvo type="min"/>
        <cfvo type="max"/>
        <color rgb="FFFCFCFF"/>
        <color rgb="FFF8696B"/>
      </colorScale>
    </cfRule>
  </conditionalFormatting>
  <conditionalFormatting sqref="G60:L60">
    <cfRule type="colorScale" priority="1658">
      <colorScale>
        <cfvo type="min"/>
        <cfvo type="max"/>
        <color rgb="FFFCFCFF"/>
        <color rgb="FFF8696B"/>
      </colorScale>
    </cfRule>
    <cfRule type="colorScale" priority="1657">
      <colorScale>
        <cfvo type="min"/>
        <cfvo type="max"/>
        <color rgb="FFFCFCFF"/>
        <color rgb="FFF8696B"/>
      </colorScale>
    </cfRule>
    <cfRule type="colorScale" priority="1656">
      <colorScale>
        <cfvo type="min"/>
        <cfvo type="max"/>
        <color rgb="FFFCFCFF"/>
        <color rgb="FFF8696B"/>
      </colorScale>
    </cfRule>
  </conditionalFormatting>
  <conditionalFormatting sqref="G61:L61">
    <cfRule type="colorScale" priority="1616">
      <colorScale>
        <cfvo type="min"/>
        <cfvo type="max"/>
        <color rgb="FFFCFCFF"/>
        <color rgb="FFF8696B"/>
      </colorScale>
    </cfRule>
    <cfRule type="colorScale" priority="1615">
      <colorScale>
        <cfvo type="min"/>
        <cfvo type="max"/>
        <color rgb="FFFCFCFF"/>
        <color rgb="FFF8696B"/>
      </colorScale>
    </cfRule>
    <cfRule type="colorScale" priority="1614">
      <colorScale>
        <cfvo type="min"/>
        <cfvo type="max"/>
        <color rgb="FFFCFCFF"/>
        <color rgb="FFF8696B"/>
      </colorScale>
    </cfRule>
  </conditionalFormatting>
  <conditionalFormatting sqref="G58:M58">
    <cfRule type="colorScale" priority="1741">
      <colorScale>
        <cfvo type="min"/>
        <cfvo type="max"/>
        <color rgb="FFFCFCFF"/>
        <color rgb="FFF8696B"/>
      </colorScale>
    </cfRule>
    <cfRule type="colorScale" priority="1752">
      <colorScale>
        <cfvo type="min"/>
        <cfvo type="max"/>
        <color rgb="FFF8696B"/>
        <color rgb="FFFCFCFF"/>
      </colorScale>
    </cfRule>
    <cfRule type="colorScale" priority="1742">
      <colorScale>
        <cfvo type="min"/>
        <cfvo type="max"/>
        <color rgb="FFFCFCFF"/>
        <color rgb="FFF8696B"/>
      </colorScale>
    </cfRule>
  </conditionalFormatting>
  <conditionalFormatting sqref="G59:M59">
    <cfRule type="colorScale" priority="1701">
      <colorScale>
        <cfvo type="min"/>
        <cfvo type="max"/>
        <color rgb="FFF8696B"/>
        <color rgb="FFFCFCFF"/>
      </colorScale>
    </cfRule>
    <cfRule type="colorScale" priority="1697">
      <colorScale>
        <cfvo type="min"/>
        <cfvo type="max"/>
        <color rgb="FFFCFCFF"/>
        <color rgb="FFF8696B"/>
      </colorScale>
    </cfRule>
    <cfRule type="colorScale" priority="1696">
      <colorScale>
        <cfvo type="min"/>
        <cfvo type="max"/>
        <color rgb="FFFCFCFF"/>
        <color rgb="FFF8696B"/>
      </colorScale>
    </cfRule>
  </conditionalFormatting>
  <conditionalFormatting sqref="G60:M60">
    <cfRule type="colorScale" priority="1659">
      <colorScale>
        <cfvo type="min"/>
        <cfvo type="max"/>
        <color rgb="FFF8696B"/>
        <color rgb="FFFCFCFF"/>
      </colorScale>
    </cfRule>
    <cfRule type="colorScale" priority="1655">
      <colorScale>
        <cfvo type="min"/>
        <cfvo type="max"/>
        <color rgb="FFFCFCFF"/>
        <color rgb="FFF8696B"/>
      </colorScale>
    </cfRule>
    <cfRule type="colorScale" priority="1654">
      <colorScale>
        <cfvo type="min"/>
        <cfvo type="max"/>
        <color rgb="FFFCFCFF"/>
        <color rgb="FFF8696B"/>
      </colorScale>
    </cfRule>
  </conditionalFormatting>
  <conditionalFormatting sqref="G61:M61">
    <cfRule type="colorScale" priority="1617">
      <colorScale>
        <cfvo type="min"/>
        <cfvo type="max"/>
        <color rgb="FFF8696B"/>
        <color rgb="FFFCFCFF"/>
      </colorScale>
    </cfRule>
    <cfRule type="colorScale" priority="1612">
      <colorScale>
        <cfvo type="min"/>
        <cfvo type="max"/>
        <color rgb="FFFCFCFF"/>
        <color rgb="FFF8696B"/>
      </colorScale>
    </cfRule>
    <cfRule type="colorScale" priority="1613">
      <colorScale>
        <cfvo type="min"/>
        <cfvo type="max"/>
        <color rgb="FFFCFCFF"/>
        <color rgb="FFF8696B"/>
      </colorScale>
    </cfRule>
  </conditionalFormatting>
  <conditionalFormatting sqref="H29:H32">
    <cfRule type="colorScale" priority="313">
      <colorScale>
        <cfvo type="min"/>
        <cfvo type="max"/>
        <color rgb="FFF8696B"/>
        <color rgb="FFFCFCFF"/>
      </colorScale>
    </cfRule>
    <cfRule type="colorScale" priority="301">
      <colorScale>
        <cfvo type="min"/>
        <cfvo type="max"/>
        <color rgb="FFFCFCFF"/>
        <color rgb="FFF8696B"/>
      </colorScale>
    </cfRule>
    <cfRule type="colorScale" priority="299">
      <colorScale>
        <cfvo type="min"/>
        <cfvo type="max"/>
        <color rgb="FFF8696B"/>
        <color rgb="FFFCFCFF"/>
      </colorScale>
    </cfRule>
    <cfRule type="colorScale" priority="298">
      <colorScale>
        <cfvo type="min"/>
        <cfvo type="max"/>
        <color rgb="FFFCFCFF"/>
        <color rgb="FFF8696B"/>
      </colorScale>
    </cfRule>
    <cfRule type="colorScale" priority="302">
      <colorScale>
        <cfvo type="min"/>
        <cfvo type="max"/>
        <color rgb="FFFCFCFF"/>
        <color rgb="FFF8696B"/>
      </colorScale>
    </cfRule>
    <cfRule type="colorScale" priority="303">
      <colorScale>
        <cfvo type="min"/>
        <cfvo type="max"/>
        <color rgb="FFF8696B"/>
        <color rgb="FFFCFCFF"/>
      </colorScale>
    </cfRule>
    <cfRule type="colorScale" priority="297">
      <colorScale>
        <cfvo type="min"/>
        <cfvo type="max"/>
        <color rgb="FFFCFCFF"/>
        <color rgb="FFF8696B"/>
      </colorScale>
    </cfRule>
    <cfRule type="colorScale" priority="294">
      <colorScale>
        <cfvo type="min"/>
        <cfvo type="max"/>
        <color rgb="FFF8696B"/>
        <color rgb="FFFCFCFF"/>
      </colorScale>
    </cfRule>
    <cfRule type="colorScale" priority="293">
      <colorScale>
        <cfvo type="min"/>
        <cfvo type="max"/>
        <color rgb="FFFCFCFF"/>
        <color rgb="FFF8696B"/>
      </colorScale>
    </cfRule>
    <cfRule type="colorScale" priority="292">
      <colorScale>
        <cfvo type="min"/>
        <cfvo type="max"/>
        <color rgb="FFFCFCFF"/>
        <color rgb="FFF8696B"/>
      </colorScale>
    </cfRule>
    <cfRule type="colorScale" priority="312">
      <colorScale>
        <cfvo type="min"/>
        <cfvo type="max"/>
        <color rgb="FFFCFCFF"/>
        <color rgb="FFF8696B"/>
      </colorScale>
    </cfRule>
    <cfRule type="colorScale" priority="311">
      <colorScale>
        <cfvo type="min"/>
        <cfvo type="max"/>
        <color rgb="FFFCFCFF"/>
        <color rgb="FFF8696B"/>
      </colorScale>
    </cfRule>
  </conditionalFormatting>
  <conditionalFormatting sqref="H38:K40">
    <cfRule type="colorScale" priority="2288">
      <colorScale>
        <cfvo type="min"/>
        <cfvo type="max"/>
        <color rgb="FFF8696B"/>
        <color rgb="FFFCFCFF"/>
      </colorScale>
    </cfRule>
    <cfRule type="colorScale" priority="2286">
      <colorScale>
        <cfvo type="min"/>
        <cfvo type="max"/>
        <color rgb="FFFCFCFF"/>
        <color rgb="FFF8696B"/>
      </colorScale>
    </cfRule>
    <cfRule type="colorScale" priority="2287">
      <colorScale>
        <cfvo type="min"/>
        <cfvo type="max"/>
        <color rgb="FFFCFCFF"/>
        <color rgb="FFF8696B"/>
      </colorScale>
    </cfRule>
  </conditionalFormatting>
  <conditionalFormatting sqref="H29:L29">
    <cfRule type="colorScale" priority="258">
      <colorScale>
        <cfvo type="min"/>
        <cfvo type="max"/>
        <color rgb="FFFCFCFF"/>
        <color rgb="FFF8696B"/>
      </colorScale>
    </cfRule>
    <cfRule type="colorScale" priority="260">
      <colorScale>
        <cfvo type="min"/>
        <cfvo type="max"/>
        <color rgb="FFF8696B"/>
        <color rgb="FFFCFCFF"/>
      </colorScale>
    </cfRule>
    <cfRule type="colorScale" priority="259">
      <colorScale>
        <cfvo type="min"/>
        <cfvo type="max"/>
        <color rgb="FFFCFCFF"/>
        <color rgb="FFF8696B"/>
      </colorScale>
    </cfRule>
  </conditionalFormatting>
  <conditionalFormatting sqref="H30:L30">
    <cfRule type="colorScale" priority="90">
      <colorScale>
        <cfvo type="min"/>
        <cfvo type="max"/>
        <color rgb="FFFCFCFF"/>
        <color rgb="FFF8696B"/>
      </colorScale>
    </cfRule>
    <cfRule type="colorScale" priority="217">
      <colorScale>
        <cfvo type="min"/>
        <cfvo type="max"/>
        <color rgb="FFFCFCFF"/>
        <color rgb="FFF8696B"/>
      </colorScale>
    </cfRule>
    <cfRule type="colorScale" priority="91">
      <colorScale>
        <cfvo type="min"/>
        <cfvo type="max"/>
        <color rgb="FFFCFCFF"/>
        <color rgb="FFF8696B"/>
      </colorScale>
    </cfRule>
    <cfRule type="colorScale" priority="218">
      <colorScale>
        <cfvo type="min"/>
        <cfvo type="max"/>
        <color rgb="FFF8696B"/>
        <color rgb="FFFCFCFF"/>
      </colorScale>
    </cfRule>
    <cfRule type="colorScale" priority="216">
      <colorScale>
        <cfvo type="min"/>
        <cfvo type="max"/>
        <color rgb="FFFCFCFF"/>
        <color rgb="FFF8696B"/>
      </colorScale>
    </cfRule>
    <cfRule type="colorScale" priority="92">
      <colorScale>
        <cfvo type="min"/>
        <cfvo type="max"/>
        <color rgb="FFF8696B"/>
        <color rgb="FFFCFCFF"/>
      </colorScale>
    </cfRule>
  </conditionalFormatting>
  <conditionalFormatting sqref="H31:L31">
    <cfRule type="colorScale" priority="49">
      <colorScale>
        <cfvo type="min"/>
        <cfvo type="max"/>
        <color rgb="FFFCFCFF"/>
        <color rgb="FFF8696B"/>
      </colorScale>
    </cfRule>
    <cfRule type="colorScale" priority="48">
      <colorScale>
        <cfvo type="min"/>
        <cfvo type="max"/>
        <color rgb="FFFCFCFF"/>
        <color rgb="FFF8696B"/>
      </colorScale>
    </cfRule>
    <cfRule type="colorScale" priority="174">
      <colorScale>
        <cfvo type="min"/>
        <cfvo type="max"/>
        <color rgb="FFFCFCFF"/>
        <color rgb="FFF8696B"/>
      </colorScale>
    </cfRule>
    <cfRule type="colorScale" priority="50">
      <colorScale>
        <cfvo type="min"/>
        <cfvo type="max"/>
        <color rgb="FFF8696B"/>
        <color rgb="FFFCFCFF"/>
      </colorScale>
    </cfRule>
    <cfRule type="colorScale" priority="175">
      <colorScale>
        <cfvo type="min"/>
        <cfvo type="max"/>
        <color rgb="FFFCFCFF"/>
        <color rgb="FFF8696B"/>
      </colorScale>
    </cfRule>
    <cfRule type="colorScale" priority="176">
      <colorScale>
        <cfvo type="min"/>
        <cfvo type="max"/>
        <color rgb="FFF8696B"/>
        <color rgb="FFFCFCFF"/>
      </colorScale>
    </cfRule>
  </conditionalFormatting>
  <conditionalFormatting sqref="H32:L32">
    <cfRule type="colorScale" priority="6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max"/>
        <color rgb="FFF8696B"/>
        <color rgb="FFFCFCFF"/>
      </colorScale>
    </cfRule>
    <cfRule type="colorScale" priority="134">
      <colorScale>
        <cfvo type="min"/>
        <cfvo type="max"/>
        <color rgb="FFF8696B"/>
        <color rgb="FFFCFCFF"/>
      </colorScale>
    </cfRule>
    <cfRule type="colorScale" priority="7">
      <colorScale>
        <cfvo type="min"/>
        <cfvo type="max"/>
        <color rgb="FFFCFCFF"/>
        <color rgb="FFF8696B"/>
      </colorScale>
    </cfRule>
    <cfRule type="colorScale" priority="132">
      <colorScale>
        <cfvo type="min"/>
        <cfvo type="max"/>
        <color rgb="FFFCFCFF"/>
        <color rgb="FFF8696B"/>
      </colorScale>
    </cfRule>
    <cfRule type="colorScale" priority="133">
      <colorScale>
        <cfvo type="min"/>
        <cfvo type="max"/>
        <color rgb="FFFCFCFF"/>
        <color rgb="FFF8696B"/>
      </colorScale>
    </cfRule>
  </conditionalFormatting>
  <conditionalFormatting sqref="I41:I43 B40 K41:K43 C41:G43 D41:L41 C42:L42 D43:L43 C44:L44">
    <cfRule type="colorScale" priority="2257">
      <colorScale>
        <cfvo type="min"/>
        <cfvo type="max"/>
        <color rgb="FFFCFCFF"/>
        <color rgb="FFF8696B"/>
      </colorScale>
    </cfRule>
    <cfRule type="colorScale" priority="2252">
      <colorScale>
        <cfvo type="min"/>
        <cfvo type="max"/>
        <color rgb="FFFCFCFF"/>
        <color rgb="FFF8696B"/>
      </colorScale>
    </cfRule>
    <cfRule type="colorScale" priority="2256">
      <colorScale>
        <cfvo type="min"/>
        <cfvo type="max"/>
        <color rgb="FFFCFCFF"/>
        <color rgb="FFF8696B"/>
      </colorScale>
    </cfRule>
  </conditionalFormatting>
  <conditionalFormatting sqref="I58:I61">
    <cfRule type="colorScale" priority="1777">
      <colorScale>
        <cfvo type="min"/>
        <cfvo type="max"/>
        <color rgb="FFFCFCFF"/>
        <color rgb="FFF8696B"/>
      </colorScale>
    </cfRule>
    <cfRule type="colorScale" priority="1767">
      <colorScale>
        <cfvo type="min"/>
        <cfvo type="max"/>
        <color rgb="FFFCFCFF"/>
        <color rgb="FFF8696B"/>
      </colorScale>
    </cfRule>
    <cfRule type="colorScale" priority="1778">
      <colorScale>
        <cfvo type="min"/>
        <cfvo type="max"/>
        <color rgb="FFF8696B"/>
        <color rgb="FFFCFCFF"/>
      </colorScale>
    </cfRule>
    <cfRule type="colorScale" priority="1788">
      <colorScale>
        <cfvo type="min"/>
        <cfvo type="max"/>
        <color rgb="FFF8696B"/>
        <color rgb="FFFCFCFF"/>
      </colorScale>
    </cfRule>
    <cfRule type="colorScale" priority="1787">
      <colorScale>
        <cfvo type="min"/>
        <cfvo type="max"/>
        <color rgb="FFFCFCFF"/>
        <color rgb="FFF8696B"/>
      </colorScale>
    </cfRule>
    <cfRule type="colorScale" priority="1776">
      <colorScale>
        <cfvo type="min"/>
        <cfvo type="max"/>
        <color rgb="FFFCFCFF"/>
        <color rgb="FFF8696B"/>
      </colorScale>
    </cfRule>
    <cfRule type="colorScale" priority="1774">
      <colorScale>
        <cfvo type="min"/>
        <cfvo type="max"/>
        <color rgb="FFF8696B"/>
        <color rgb="FFFCFCFF"/>
      </colorScale>
    </cfRule>
    <cfRule type="colorScale" priority="1773">
      <colorScale>
        <cfvo type="min"/>
        <cfvo type="max"/>
        <color rgb="FFFCFCFF"/>
        <color rgb="FFF8696B"/>
      </colorScale>
    </cfRule>
    <cfRule type="colorScale" priority="1772">
      <colorScale>
        <cfvo type="min"/>
        <cfvo type="max"/>
        <color rgb="FFFCFCFF"/>
        <color rgb="FFF8696B"/>
      </colorScale>
    </cfRule>
    <cfRule type="colorScale" priority="1769">
      <colorScale>
        <cfvo type="min"/>
        <cfvo type="max"/>
        <color rgb="FFF8696B"/>
        <color rgb="FFFCFCFF"/>
      </colorScale>
    </cfRule>
    <cfRule type="colorScale" priority="1768">
      <colorScale>
        <cfvo type="min"/>
        <cfvo type="max"/>
        <color rgb="FFFCFCFF"/>
        <color rgb="FFF8696B"/>
      </colorScale>
    </cfRule>
    <cfRule type="colorScale" priority="1786">
      <colorScale>
        <cfvo type="min"/>
        <cfvo type="max"/>
        <color rgb="FFFCFCFF"/>
        <color rgb="FFF8696B"/>
      </colorScale>
    </cfRule>
  </conditionalFormatting>
  <conditionalFormatting sqref="I42:K44 J41:J42 H41:H44 H44:K44">
    <cfRule type="colorScale" priority="2264">
      <colorScale>
        <cfvo type="min"/>
        <cfvo type="max"/>
        <color rgb="FFF8696B"/>
        <color rgb="FFFCFCFF"/>
      </colorScale>
    </cfRule>
    <cfRule type="colorScale" priority="2262">
      <colorScale>
        <cfvo type="min"/>
        <cfvo type="max"/>
        <color rgb="FFFCFCFF"/>
        <color rgb="FFF8696B"/>
      </colorScale>
    </cfRule>
    <cfRule type="colorScale" priority="2263">
      <colorScale>
        <cfvo type="min"/>
        <cfvo type="max"/>
        <color rgb="FFFCFCFF"/>
        <color rgb="FFF8696B"/>
      </colorScale>
    </cfRule>
  </conditionalFormatting>
  <conditionalFormatting sqref="I58:M58">
    <cfRule type="colorScale" priority="1733">
      <colorScale>
        <cfvo type="min"/>
        <cfvo type="max"/>
        <color rgb="FFFCFCFF"/>
        <color rgb="FFF8696B"/>
      </colorScale>
    </cfRule>
    <cfRule type="colorScale" priority="1735">
      <colorScale>
        <cfvo type="min"/>
        <cfvo type="max"/>
        <color rgb="FFF8696B"/>
        <color rgb="FFFCFCFF"/>
      </colorScale>
    </cfRule>
    <cfRule type="colorScale" priority="1734">
      <colorScale>
        <cfvo type="min"/>
        <cfvo type="max"/>
        <color rgb="FFFCFCFF"/>
        <color rgb="FFF8696B"/>
      </colorScale>
    </cfRule>
  </conditionalFormatting>
  <conditionalFormatting sqref="I59:M59">
    <cfRule type="colorScale" priority="1691">
      <colorScale>
        <cfvo type="min"/>
        <cfvo type="max"/>
        <color rgb="FFFCFCFF"/>
        <color rgb="FFF8696B"/>
      </colorScale>
    </cfRule>
    <cfRule type="colorScale" priority="1692">
      <colorScale>
        <cfvo type="min"/>
        <cfvo type="max"/>
        <color rgb="FFFCFCFF"/>
        <color rgb="FFF8696B"/>
      </colorScale>
    </cfRule>
    <cfRule type="colorScale" priority="1693">
      <colorScale>
        <cfvo type="min"/>
        <cfvo type="max"/>
        <color rgb="FFF8696B"/>
        <color rgb="FFFCFCFF"/>
      </colorScale>
    </cfRule>
  </conditionalFormatting>
  <conditionalFormatting sqref="I60:M60">
    <cfRule type="colorScale" priority="1649">
      <colorScale>
        <cfvo type="min"/>
        <cfvo type="max"/>
        <color rgb="FFFCFCFF"/>
        <color rgb="FFF8696B"/>
      </colorScale>
    </cfRule>
    <cfRule type="colorScale" priority="1651">
      <colorScale>
        <cfvo type="min"/>
        <cfvo type="max"/>
        <color rgb="FFF8696B"/>
        <color rgb="FFFCFCFF"/>
      </colorScale>
    </cfRule>
    <cfRule type="colorScale" priority="1650">
      <colorScale>
        <cfvo type="min"/>
        <cfvo type="max"/>
        <color rgb="FFFCFCFF"/>
        <color rgb="FFF8696B"/>
      </colorScale>
    </cfRule>
  </conditionalFormatting>
  <conditionalFormatting sqref="I61:M61">
    <cfRule type="colorScale" priority="1607">
      <colorScale>
        <cfvo type="min"/>
        <cfvo type="max"/>
        <color rgb="FFFCFCFF"/>
        <color rgb="FFF8696B"/>
      </colorScale>
    </cfRule>
    <cfRule type="colorScale" priority="1608">
      <colorScale>
        <cfvo type="min"/>
        <cfvo type="max"/>
        <color rgb="FFFCFCFF"/>
        <color rgb="FFF8696B"/>
      </colorScale>
    </cfRule>
    <cfRule type="colorScale" priority="1609">
      <colorScale>
        <cfvo type="min"/>
        <cfvo type="max"/>
        <color rgb="FFF8696B"/>
        <color rgb="FFFCFCFF"/>
      </colorScale>
    </cfRule>
  </conditionalFormatting>
  <conditionalFormatting sqref="J38:J40 H38:H40">
    <cfRule type="colorScale" priority="2280">
      <colorScale>
        <cfvo type="min"/>
        <cfvo type="max"/>
        <color rgb="FFFCFCFF"/>
        <color rgb="FFF8696B"/>
      </colorScale>
    </cfRule>
    <cfRule type="colorScale" priority="2279">
      <colorScale>
        <cfvo type="min"/>
        <cfvo type="max"/>
        <color rgb="FFF8696B"/>
        <color rgb="FFFCFCFF"/>
      </colorScale>
    </cfRule>
    <cfRule type="colorScale" priority="2278">
      <colorScale>
        <cfvo type="min"/>
        <cfvo type="max"/>
        <color rgb="FFFCFCFF"/>
        <color rgb="FFF8696B"/>
      </colorScale>
    </cfRule>
    <cfRule type="colorScale" priority="2277">
      <colorScale>
        <cfvo type="min"/>
        <cfvo type="max"/>
        <color rgb="FFFCFCFF"/>
        <color rgb="FFF8696B"/>
      </colorScale>
    </cfRule>
    <cfRule type="colorScale" priority="2276">
      <colorScale>
        <cfvo type="min"/>
        <cfvo type="max"/>
        <color rgb="FFF8696B"/>
        <color rgb="FFFCFCFF"/>
      </colorScale>
    </cfRule>
    <cfRule type="colorScale" priority="2275">
      <colorScale>
        <cfvo type="min"/>
        <cfvo type="max"/>
        <color rgb="FFFCFCFF"/>
        <color rgb="FFF8696B"/>
      </colorScale>
    </cfRule>
    <cfRule type="colorScale" priority="2274">
      <colorScale>
        <cfvo type="min"/>
        <cfvo type="max"/>
        <color rgb="FFFCFCFF"/>
        <color rgb="FFF8696B"/>
      </colorScale>
    </cfRule>
    <cfRule type="colorScale" priority="2281">
      <colorScale>
        <cfvo type="min"/>
        <cfvo type="max"/>
        <color rgb="FFFCFCFF"/>
        <color rgb="FFF8696B"/>
      </colorScale>
    </cfRule>
    <cfRule type="colorScale" priority="2282">
      <colorScale>
        <cfvo type="min"/>
        <cfvo type="max"/>
        <color rgb="FFF8696B"/>
        <color rgb="FFFCFCFF"/>
      </colorScale>
    </cfRule>
  </conditionalFormatting>
  <conditionalFormatting sqref="J41:J44 H41:H44">
    <cfRule type="colorScale" priority="2253">
      <colorScale>
        <cfvo type="min"/>
        <cfvo type="max"/>
        <color rgb="FFFCFCFF"/>
        <color rgb="FFF8696B"/>
      </colorScale>
    </cfRule>
    <cfRule type="colorScale" priority="2251">
      <colorScale>
        <cfvo type="min"/>
        <cfvo type="max"/>
        <color rgb="FFF8696B"/>
        <color rgb="FFFCFCFF"/>
      </colorScale>
    </cfRule>
    <cfRule type="colorScale" priority="2250">
      <colorScale>
        <cfvo type="min"/>
        <cfvo type="max"/>
        <color rgb="FFFCFCFF"/>
        <color rgb="FFF8696B"/>
      </colorScale>
    </cfRule>
    <cfRule type="colorScale" priority="2249">
      <colorScale>
        <cfvo type="min"/>
        <cfvo type="max"/>
        <color rgb="FFFCFCFF"/>
        <color rgb="FFF8696B"/>
      </colorScale>
    </cfRule>
    <cfRule type="colorScale" priority="2246">
      <colorScale>
        <cfvo type="min"/>
        <cfvo type="max"/>
        <color rgb="FFF8696B"/>
        <color rgb="FFFCFCFF"/>
      </colorScale>
    </cfRule>
    <cfRule type="colorScale" priority="2245">
      <colorScale>
        <cfvo type="min"/>
        <cfvo type="max"/>
        <color rgb="FFFCFCFF"/>
        <color rgb="FFF8696B"/>
      </colorScale>
    </cfRule>
    <cfRule type="colorScale" priority="2244">
      <colorScale>
        <cfvo type="min"/>
        <cfvo type="max"/>
        <color rgb="FFFCFCFF"/>
        <color rgb="FFF8696B"/>
      </colorScale>
    </cfRule>
    <cfRule type="colorScale" priority="2255">
      <colorScale>
        <cfvo type="min"/>
        <cfvo type="max"/>
        <color rgb="FFF8696B"/>
        <color rgb="FFFCFCFF"/>
      </colorScale>
    </cfRule>
    <cfRule type="colorScale" priority="2254">
      <colorScale>
        <cfvo type="min"/>
        <cfvo type="max"/>
        <color rgb="FFFCFCFF"/>
        <color rgb="FFF8696B"/>
      </colorScale>
    </cfRule>
  </conditionalFormatting>
  <conditionalFormatting sqref="J38:K40">
    <cfRule type="colorScale" priority="2290">
      <colorScale>
        <cfvo type="min"/>
        <cfvo type="max"/>
        <color rgb="FFFCFCFF"/>
        <color rgb="FFF8696B"/>
      </colorScale>
    </cfRule>
    <cfRule type="colorScale" priority="2289">
      <colorScale>
        <cfvo type="min"/>
        <cfvo type="max"/>
        <color rgb="FFFCFCFF"/>
        <color rgb="FFF8696B"/>
      </colorScale>
    </cfRule>
    <cfRule type="colorScale" priority="2285">
      <colorScale>
        <cfvo type="min"/>
        <cfvo type="max"/>
        <color rgb="FFFCFCFF"/>
        <color rgb="FFF8696B"/>
      </colorScale>
    </cfRule>
    <cfRule type="colorScale" priority="2284">
      <colorScale>
        <cfvo type="min"/>
        <cfvo type="max"/>
        <color rgb="FFFCFCFF"/>
        <color rgb="FFF8696B"/>
      </colorScale>
    </cfRule>
  </conditionalFormatting>
  <conditionalFormatting sqref="J41:K44">
    <cfRule type="colorScale" priority="2265">
      <colorScale>
        <cfvo type="min"/>
        <cfvo type="max"/>
        <color rgb="FFFCFCFF"/>
        <color rgb="FFF8696B"/>
      </colorScale>
    </cfRule>
    <cfRule type="colorScale" priority="2260">
      <colorScale>
        <cfvo type="min"/>
        <cfvo type="max"/>
        <color rgb="FFFCFCFF"/>
        <color rgb="FFF8696B"/>
      </colorScale>
    </cfRule>
    <cfRule type="colorScale" priority="2266">
      <colorScale>
        <cfvo type="min"/>
        <cfvo type="max"/>
        <color rgb="FFFCFCFF"/>
        <color rgb="FFF8696B"/>
      </colorScale>
    </cfRule>
    <cfRule type="colorScale" priority="2261">
      <colorScale>
        <cfvo type="min"/>
        <cfvo type="max"/>
        <color rgb="FFFCFCFF"/>
        <color rgb="FFF8696B"/>
      </colorScale>
    </cfRule>
  </conditionalFormatting>
  <conditionalFormatting sqref="J29:L29">
    <cfRule type="colorScale" priority="310">
      <colorScale>
        <cfvo type="min"/>
        <cfvo type="max"/>
        <color rgb="FFFCFCFF"/>
        <color rgb="FFF8696B"/>
      </colorScale>
    </cfRule>
    <cfRule type="colorScale" priority="261">
      <colorScale>
        <cfvo type="min"/>
        <cfvo type="max"/>
        <color rgb="FFFCFCFF"/>
        <color rgb="FFF8696B"/>
      </colorScale>
    </cfRule>
    <cfRule type="colorScale" priority="257">
      <colorScale>
        <cfvo type="min"/>
        <cfvo type="max"/>
        <color rgb="FFFCFCFF"/>
        <color rgb="FFF8696B"/>
      </colorScale>
    </cfRule>
    <cfRule type="colorScale" priority="256">
      <colorScale>
        <cfvo type="min"/>
        <cfvo type="max"/>
        <color rgb="FFFCFCFF"/>
        <color rgb="FFF8696B"/>
      </colorScale>
    </cfRule>
    <cfRule type="colorScale" priority="315">
      <colorScale>
        <cfvo type="min"/>
        <cfvo type="max"/>
        <color rgb="FFFCFCFF"/>
        <color rgb="FFF8696B"/>
      </colorScale>
    </cfRule>
    <cfRule type="colorScale" priority="308">
      <colorScale>
        <cfvo type="min"/>
        <cfvo type="max"/>
        <color rgb="FFFCFCFF"/>
        <color rgb="FFF8696B"/>
      </colorScale>
    </cfRule>
    <cfRule type="colorScale" priority="262">
      <colorScale>
        <cfvo type="min"/>
        <cfvo type="max"/>
        <color rgb="FFFCFCFF"/>
        <color rgb="FFF8696B"/>
      </colorScale>
    </cfRule>
    <cfRule type="colorScale" priority="314">
      <colorScale>
        <cfvo type="min"/>
        <cfvo type="max"/>
        <color rgb="FFFCFCFF"/>
        <color rgb="FFF8696B"/>
      </colorScale>
    </cfRule>
  </conditionalFormatting>
  <conditionalFormatting sqref="J30:L30">
    <cfRule type="colorScale" priority="248">
      <colorScale>
        <cfvo type="min"/>
        <cfvo type="max"/>
        <color rgb="FFFCFCFF"/>
        <color rgb="FFF8696B"/>
      </colorScale>
    </cfRule>
    <cfRule type="colorScale" priority="94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max"/>
        <color rgb="FFFCFCFF"/>
        <color rgb="FFF8696B"/>
      </colorScale>
    </cfRule>
    <cfRule type="colorScale" priority="250">
      <colorScale>
        <cfvo type="min"/>
        <cfvo type="max"/>
        <color rgb="FFFCFCFF"/>
        <color rgb="FFF8696B"/>
      </colorScale>
    </cfRule>
    <cfRule type="colorScale" priority="251">
      <colorScale>
        <cfvo type="min"/>
        <cfvo type="max"/>
        <color rgb="FFFCFCFF"/>
        <color rgb="FFF8696B"/>
      </colorScale>
    </cfRule>
    <cfRule type="colorScale" priority="252">
      <colorScale>
        <cfvo type="min"/>
        <cfvo type="max"/>
        <color rgb="FFFCFCFF"/>
        <color rgb="FFF8696B"/>
      </colorScale>
    </cfRule>
    <cfRule type="colorScale" priority="88">
      <colorScale>
        <cfvo type="min"/>
        <cfvo type="max"/>
        <color rgb="FFFCFCFF"/>
        <color rgb="FFF8696B"/>
      </colorScale>
    </cfRule>
    <cfRule type="colorScale" priority="220">
      <colorScale>
        <cfvo type="min"/>
        <cfvo type="max"/>
        <color rgb="FFFCFCFF"/>
        <color rgb="FFF8696B"/>
      </colorScale>
    </cfRule>
    <cfRule type="colorScale" priority="219">
      <colorScale>
        <cfvo type="min"/>
        <cfvo type="max"/>
        <color rgb="FFFCFCFF"/>
        <color rgb="FFF8696B"/>
      </colorScale>
    </cfRule>
    <cfRule type="colorScale" priority="215">
      <colorScale>
        <cfvo type="min"/>
        <cfvo type="max"/>
        <color rgb="FFFCFCFF"/>
        <color rgb="FFF8696B"/>
      </colorScale>
    </cfRule>
    <cfRule type="colorScale" priority="214">
      <colorScale>
        <cfvo type="min"/>
        <cfvo type="max"/>
        <color rgb="FFFCFCFF"/>
        <color rgb="FFF8696B"/>
      </colorScale>
    </cfRule>
    <cfRule type="colorScale" priority="122">
      <colorScale>
        <cfvo type="min"/>
        <cfvo type="max"/>
        <color rgb="FFFCFCFF"/>
        <color rgb="FFF8696B"/>
      </colorScale>
    </cfRule>
    <cfRule type="colorScale" priority="124">
      <colorScale>
        <cfvo type="min"/>
        <cfvo type="max"/>
        <color rgb="FFFCFCFF"/>
        <color rgb="FFF8696B"/>
      </colorScale>
    </cfRule>
    <cfRule type="colorScale" priority="125">
      <colorScale>
        <cfvo type="min"/>
        <cfvo type="max"/>
        <color rgb="FFFCFCFF"/>
        <color rgb="FFF8696B"/>
      </colorScale>
    </cfRule>
    <cfRule type="colorScale" priority="126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max"/>
        <color rgb="FFFCFCFF"/>
        <color rgb="FFF8696B"/>
      </colorScale>
    </cfRule>
  </conditionalFormatting>
  <conditionalFormatting sqref="J31:L31">
    <cfRule type="colorScale" priority="46">
      <colorScale>
        <cfvo type="min"/>
        <cfvo type="max"/>
        <color rgb="FFFCFCFF"/>
        <color rgb="FFF8696B"/>
      </colorScale>
    </cfRule>
    <cfRule type="colorScale" priority="210">
      <colorScale>
        <cfvo type="min"/>
        <cfvo type="max"/>
        <color rgb="FFFCFCFF"/>
        <color rgb="FFF8696B"/>
      </colorScale>
    </cfRule>
    <cfRule type="colorScale" priority="206">
      <colorScale>
        <cfvo type="min"/>
        <cfvo type="max"/>
        <color rgb="FFFCFCFF"/>
        <color rgb="FFF8696B"/>
      </colorScale>
    </cfRule>
    <cfRule type="colorScale" priority="178">
      <colorScale>
        <cfvo type="min"/>
        <cfvo type="max"/>
        <color rgb="FFFCFCFF"/>
        <color rgb="FFF8696B"/>
      </colorScale>
    </cfRule>
    <cfRule type="colorScale" priority="177">
      <colorScale>
        <cfvo type="min"/>
        <cfvo type="max"/>
        <color rgb="FFFCFCFF"/>
        <color rgb="FFF8696B"/>
      </colorScale>
    </cfRule>
    <cfRule type="colorScale" priority="173">
      <colorScale>
        <cfvo type="min"/>
        <cfvo type="max"/>
        <color rgb="FFFCFCFF"/>
        <color rgb="FFF8696B"/>
      </colorScale>
    </cfRule>
    <cfRule type="colorScale" priority="172">
      <colorScale>
        <cfvo type="min"/>
        <cfvo type="max"/>
        <color rgb="FFFCFCFF"/>
        <color rgb="FFF8696B"/>
      </colorScale>
    </cfRule>
    <cfRule type="colorScale" priority="80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max"/>
        <color rgb="FFFCFCFF"/>
        <color rgb="FFF8696B"/>
      </colorScale>
    </cfRule>
    <cfRule type="colorScale" priority="82">
      <colorScale>
        <cfvo type="min"/>
        <cfvo type="max"/>
        <color rgb="FFFCFCFF"/>
        <color rgb="FFF8696B"/>
      </colorScale>
    </cfRule>
    <cfRule type="colorScale" priority="209">
      <colorScale>
        <cfvo type="min"/>
        <cfvo type="max"/>
        <color rgb="FFFCFCFF"/>
        <color rgb="FFF8696B"/>
      </colorScale>
    </cfRule>
    <cfRule type="colorScale" priority="52">
      <colorScale>
        <cfvo type="min"/>
        <cfvo type="max"/>
        <color rgb="FFFCFCFF"/>
        <color rgb="FFF8696B"/>
      </colorScale>
    </cfRule>
    <cfRule type="colorScale" priority="51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max"/>
        <color rgb="FFFCFCFF"/>
        <color rgb="FFF8696B"/>
      </colorScale>
    </cfRule>
    <cfRule type="colorScale" priority="208">
      <colorScale>
        <cfvo type="min"/>
        <cfvo type="max"/>
        <color rgb="FFFCFCFF"/>
        <color rgb="FFF8696B"/>
      </colorScale>
    </cfRule>
    <cfRule type="colorScale" priority="84">
      <colorScale>
        <cfvo type="min"/>
        <cfvo type="max"/>
        <color rgb="FFFCFCFF"/>
        <color rgb="FFF8696B"/>
      </colorScale>
    </cfRule>
  </conditionalFormatting>
  <conditionalFormatting sqref="J32:L32">
    <cfRule type="colorScale" priority="130">
      <colorScale>
        <cfvo type="min"/>
        <cfvo type="max"/>
        <color rgb="FFFCFCFF"/>
        <color rgb="FFF8696B"/>
      </colorScale>
    </cfRule>
    <cfRule type="colorScale" priority="40">
      <colorScale>
        <cfvo type="min"/>
        <cfvo type="max"/>
        <color rgb="FFFCFCFF"/>
        <color rgb="FFF8696B"/>
      </colorScale>
    </cfRule>
    <cfRule type="colorScale" priority="135">
      <colorScale>
        <cfvo type="min"/>
        <cfvo type="max"/>
        <color rgb="FFFCFCFF"/>
        <color rgb="FFF8696B"/>
      </colorScale>
    </cfRule>
    <cfRule type="colorScale" priority="131">
      <colorScale>
        <cfvo type="min"/>
        <cfvo type="max"/>
        <color rgb="FFFCFCFF"/>
        <color rgb="FFF8696B"/>
      </colorScale>
    </cfRule>
    <cfRule type="colorScale" priority="42">
      <colorScale>
        <cfvo type="min"/>
        <cfvo type="max"/>
        <color rgb="FFFCFCFF"/>
        <color rgb="FFF8696B"/>
      </colorScale>
    </cfRule>
    <cfRule type="colorScale" priority="38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max"/>
        <color rgb="FFFCFCFF"/>
        <color rgb="FFF8696B"/>
      </colorScale>
    </cfRule>
    <cfRule type="colorScale" priority="136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max"/>
        <color rgb="FFFCFCFF"/>
        <color rgb="FFF8696B"/>
      </colorScale>
    </cfRule>
    <cfRule type="colorScale" priority="168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  <cfRule type="colorScale" priority="167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  <cfRule type="colorScale" priority="166">
      <colorScale>
        <cfvo type="min"/>
        <cfvo type="max"/>
        <color rgb="FFFCFCFF"/>
        <color rgb="FFF8696B"/>
      </colorScale>
    </cfRule>
    <cfRule type="colorScale" priority="164">
      <colorScale>
        <cfvo type="min"/>
        <cfvo type="max"/>
        <color rgb="FFFCFCFF"/>
        <color rgb="FFF8696B"/>
      </colorScale>
    </cfRule>
  </conditionalFormatting>
  <conditionalFormatting sqref="K58:M58">
    <cfRule type="colorScale" priority="1737">
      <colorScale>
        <cfvo type="min"/>
        <cfvo type="max"/>
        <color rgb="FFFCFCFF"/>
        <color rgb="FFF8696B"/>
      </colorScale>
    </cfRule>
    <cfRule type="colorScale" priority="1732">
      <colorScale>
        <cfvo type="min"/>
        <cfvo type="max"/>
        <color rgb="FFFCFCFF"/>
        <color rgb="FFF8696B"/>
      </colorScale>
    </cfRule>
    <cfRule type="colorScale" priority="1783">
      <colorScale>
        <cfvo type="min"/>
        <cfvo type="max"/>
        <color rgb="FFFCFCFF"/>
        <color rgb="FFF8696B"/>
      </colorScale>
    </cfRule>
    <cfRule type="colorScale" priority="1736">
      <colorScale>
        <cfvo type="min"/>
        <cfvo type="max"/>
        <color rgb="FFFCFCFF"/>
        <color rgb="FFF8696B"/>
      </colorScale>
    </cfRule>
    <cfRule type="colorScale" priority="1785">
      <colorScale>
        <cfvo type="min"/>
        <cfvo type="max"/>
        <color rgb="FFFCFCFF"/>
        <color rgb="FFF8696B"/>
      </colorScale>
    </cfRule>
    <cfRule type="colorScale" priority="1789">
      <colorScale>
        <cfvo type="min"/>
        <cfvo type="max"/>
        <color rgb="FFFCFCFF"/>
        <color rgb="FFF8696B"/>
      </colorScale>
    </cfRule>
    <cfRule type="colorScale" priority="1790">
      <colorScale>
        <cfvo type="min"/>
        <cfvo type="max"/>
        <color rgb="FFFCFCFF"/>
        <color rgb="FFF8696B"/>
      </colorScale>
    </cfRule>
    <cfRule type="colorScale" priority="1731">
      <colorScale>
        <cfvo type="min"/>
        <cfvo type="max"/>
        <color rgb="FFFCFCFF"/>
        <color rgb="FFF8696B"/>
      </colorScale>
    </cfRule>
  </conditionalFormatting>
  <conditionalFormatting sqref="K59:M59">
    <cfRule type="colorScale" priority="1726">
      <colorScale>
        <cfvo type="min"/>
        <cfvo type="max"/>
        <color rgb="FFFCFCFF"/>
        <color rgb="FFF8696B"/>
      </colorScale>
    </cfRule>
    <cfRule type="colorScale" priority="1694">
      <colorScale>
        <cfvo type="min"/>
        <cfvo type="max"/>
        <color rgb="FFFCFCFF"/>
        <color rgb="FFF8696B"/>
      </colorScale>
    </cfRule>
    <cfRule type="colorScale" priority="1723">
      <colorScale>
        <cfvo type="min"/>
        <cfvo type="max"/>
        <color rgb="FFFCFCFF"/>
        <color rgb="FFF8696B"/>
      </colorScale>
    </cfRule>
    <cfRule type="colorScale" priority="1690">
      <colorScale>
        <cfvo type="min"/>
        <cfvo type="max"/>
        <color rgb="FFFCFCFF"/>
        <color rgb="FFF8696B"/>
      </colorScale>
    </cfRule>
    <cfRule type="colorScale" priority="1727">
      <colorScale>
        <cfvo type="min"/>
        <cfvo type="max"/>
        <color rgb="FFFCFCFF"/>
        <color rgb="FFF8696B"/>
      </colorScale>
    </cfRule>
    <cfRule type="colorScale" priority="1689">
      <colorScale>
        <cfvo type="min"/>
        <cfvo type="max"/>
        <color rgb="FFFCFCFF"/>
        <color rgb="FFF8696B"/>
      </colorScale>
    </cfRule>
    <cfRule type="colorScale" priority="1695">
      <colorScale>
        <cfvo type="min"/>
        <cfvo type="max"/>
        <color rgb="FFFCFCFF"/>
        <color rgb="FFF8696B"/>
      </colorScale>
    </cfRule>
    <cfRule type="colorScale" priority="1725">
      <colorScale>
        <cfvo type="min"/>
        <cfvo type="max"/>
        <color rgb="FFFCFCFF"/>
        <color rgb="FFF8696B"/>
      </colorScale>
    </cfRule>
  </conditionalFormatting>
  <conditionalFormatting sqref="K60:M60">
    <cfRule type="colorScale" priority="1652">
      <colorScale>
        <cfvo type="min"/>
        <cfvo type="max"/>
        <color rgb="FFFCFCFF"/>
        <color rgb="FFF8696B"/>
      </colorScale>
    </cfRule>
    <cfRule type="colorScale" priority="1685">
      <colorScale>
        <cfvo type="min"/>
        <cfvo type="max"/>
        <color rgb="FFFCFCFF"/>
        <color rgb="FFF8696B"/>
      </colorScale>
    </cfRule>
    <cfRule type="colorScale" priority="1653">
      <colorScale>
        <cfvo type="min"/>
        <cfvo type="max"/>
        <color rgb="FFFCFCFF"/>
        <color rgb="FFF8696B"/>
      </colorScale>
    </cfRule>
    <cfRule type="colorScale" priority="1683">
      <colorScale>
        <cfvo type="min"/>
        <cfvo type="max"/>
        <color rgb="FFFCFCFF"/>
        <color rgb="FFF8696B"/>
      </colorScale>
    </cfRule>
    <cfRule type="colorScale" priority="1647">
      <colorScale>
        <cfvo type="min"/>
        <cfvo type="max"/>
        <color rgb="FFFCFCFF"/>
        <color rgb="FFF8696B"/>
      </colorScale>
    </cfRule>
    <cfRule type="colorScale" priority="1648">
      <colorScale>
        <cfvo type="min"/>
        <cfvo type="max"/>
        <color rgb="FFFCFCFF"/>
        <color rgb="FFF8696B"/>
      </colorScale>
    </cfRule>
    <cfRule type="colorScale" priority="1681">
      <colorScale>
        <cfvo type="min"/>
        <cfvo type="max"/>
        <color rgb="FFFCFCFF"/>
        <color rgb="FFF8696B"/>
      </colorScale>
    </cfRule>
    <cfRule type="colorScale" priority="1684">
      <colorScale>
        <cfvo type="min"/>
        <cfvo type="max"/>
        <color rgb="FFFCFCFF"/>
        <color rgb="FFF8696B"/>
      </colorScale>
    </cfRule>
  </conditionalFormatting>
  <conditionalFormatting sqref="K61:M61">
    <cfRule type="colorScale" priority="1639">
      <colorScale>
        <cfvo type="min"/>
        <cfvo type="max"/>
        <color rgb="FFFCFCFF"/>
        <color rgb="FFF8696B"/>
      </colorScale>
    </cfRule>
    <cfRule type="colorScale" priority="1605">
      <colorScale>
        <cfvo type="min"/>
        <cfvo type="max"/>
        <color rgb="FFFCFCFF"/>
        <color rgb="FFF8696B"/>
      </colorScale>
    </cfRule>
    <cfRule type="colorScale" priority="1641">
      <colorScale>
        <cfvo type="min"/>
        <cfvo type="max"/>
        <color rgb="FFFCFCFF"/>
        <color rgb="FFF8696B"/>
      </colorScale>
    </cfRule>
    <cfRule type="colorScale" priority="1611">
      <colorScale>
        <cfvo type="min"/>
        <cfvo type="max"/>
        <color rgb="FFFCFCFF"/>
        <color rgb="FFF8696B"/>
      </colorScale>
    </cfRule>
    <cfRule type="colorScale" priority="1610">
      <colorScale>
        <cfvo type="min"/>
        <cfvo type="max"/>
        <color rgb="FFFCFCFF"/>
        <color rgb="FFF8696B"/>
      </colorScale>
    </cfRule>
    <cfRule type="colorScale" priority="1642">
      <colorScale>
        <cfvo type="min"/>
        <cfvo type="max"/>
        <color rgb="FFFCFCFF"/>
        <color rgb="FFF8696B"/>
      </colorScale>
    </cfRule>
    <cfRule type="colorScale" priority="1643">
      <colorScale>
        <cfvo type="min"/>
        <cfvo type="max"/>
        <color rgb="FFFCFCFF"/>
        <color rgb="FFF8696B"/>
      </colorScale>
    </cfRule>
    <cfRule type="colorScale" priority="1606">
      <colorScale>
        <cfvo type="min"/>
        <cfvo type="max"/>
        <color rgb="FFFCFCFF"/>
        <color rgb="FFF8696B"/>
      </colorScale>
    </cfRule>
  </conditionalFormatting>
  <conditionalFormatting sqref="L29:L32">
    <cfRule type="colorScale" priority="274">
      <colorScale>
        <cfvo type="min"/>
        <cfvo type="max"/>
        <color rgb="FFF8696B"/>
        <color rgb="FFFCFCFF"/>
      </colorScale>
    </cfRule>
    <cfRule type="colorScale" priority="273">
      <colorScale>
        <cfvo type="min"/>
        <cfvo type="max"/>
        <color rgb="FFFCFCFF"/>
        <color rgb="FFF8696B"/>
      </colorScale>
    </cfRule>
    <cfRule type="colorScale" priority="272">
      <colorScale>
        <cfvo type="min"/>
        <cfvo type="max"/>
        <color rgb="FFFCFCFF"/>
        <color rgb="FFF8696B"/>
      </colorScale>
    </cfRule>
    <cfRule type="colorScale" priority="263">
      <colorScale>
        <cfvo type="min"/>
        <cfvo type="max"/>
        <color rgb="FFFCFCFF"/>
        <color rgb="FFF8696B"/>
      </colorScale>
    </cfRule>
    <cfRule type="colorScale" priority="264">
      <colorScale>
        <cfvo type="min"/>
        <cfvo type="max"/>
        <color rgb="FFFCFCFF"/>
        <color rgb="FFF8696B"/>
      </colorScale>
    </cfRule>
    <cfRule type="colorScale" priority="265">
      <colorScale>
        <cfvo type="min"/>
        <cfvo type="max"/>
        <color rgb="FFF8696B"/>
        <color rgb="FFFCFCFF"/>
      </colorScale>
    </cfRule>
    <cfRule type="colorScale" priority="268">
      <colorScale>
        <cfvo type="min"/>
        <cfvo type="max"/>
        <color rgb="FFFCFCFF"/>
        <color rgb="FFF8696B"/>
      </colorScale>
    </cfRule>
    <cfRule type="colorScale" priority="269">
      <colorScale>
        <cfvo type="min"/>
        <cfvo type="max"/>
        <color rgb="FFFCFCFF"/>
        <color rgb="FFF8696B"/>
      </colorScale>
    </cfRule>
    <cfRule type="colorScale" priority="270">
      <colorScale>
        <cfvo type="min"/>
        <cfvo type="max"/>
        <color rgb="FFF8696B"/>
        <color rgb="FFFCFCFF"/>
      </colorScale>
    </cfRule>
  </conditionalFormatting>
  <conditionalFormatting sqref="L38:L40">
    <cfRule type="colorScale" priority="2154">
      <colorScale>
        <cfvo type="min"/>
        <cfvo type="max"/>
        <color rgb="FFFCFCFF"/>
        <color rgb="FFF8696B"/>
      </colorScale>
    </cfRule>
    <cfRule type="colorScale" priority="2155">
      <colorScale>
        <cfvo type="min"/>
        <cfvo type="max"/>
        <color rgb="FFFCFCFF"/>
        <color rgb="FFF8696B"/>
      </colorScale>
    </cfRule>
    <cfRule type="colorScale" priority="2163">
      <colorScale>
        <cfvo type="min"/>
        <cfvo type="max"/>
        <color rgb="FFFCFCFF"/>
        <color rgb="FFF8696B"/>
      </colorScale>
    </cfRule>
    <cfRule type="colorScale" priority="2153">
      <colorScale>
        <cfvo type="min"/>
        <cfvo type="max"/>
        <color rgb="FFFCFCFF"/>
        <color rgb="FFF8696B"/>
      </colorScale>
    </cfRule>
    <cfRule type="colorScale" priority="2152">
      <colorScale>
        <cfvo type="min"/>
        <cfvo type="max"/>
        <color rgb="FFFCFCFF"/>
        <color rgb="FFF8696B"/>
      </colorScale>
    </cfRule>
    <cfRule type="colorScale" priority="2057">
      <colorScale>
        <cfvo type="min"/>
        <cfvo type="max"/>
        <color rgb="FFF8696B"/>
        <color rgb="FFFCFCFF"/>
      </colorScale>
    </cfRule>
    <cfRule type="colorScale" priority="2056">
      <colorScale>
        <cfvo type="min"/>
        <cfvo type="max"/>
        <color rgb="FFFCFCFF"/>
        <color rgb="FFF8696B"/>
      </colorScale>
    </cfRule>
    <cfRule type="colorScale" priority="2055">
      <colorScale>
        <cfvo type="min"/>
        <cfvo type="max"/>
        <color rgb="FFFCFCFF"/>
        <color rgb="FFF8696B"/>
      </colorScale>
    </cfRule>
    <cfRule type="colorScale" priority="2097">
      <colorScale>
        <cfvo type="min"/>
        <cfvo type="max"/>
        <color rgb="FFFCFCFF"/>
        <color rgb="FFF8696B"/>
      </colorScale>
    </cfRule>
    <cfRule type="colorScale" priority="2098">
      <colorScale>
        <cfvo type="min"/>
        <cfvo type="max"/>
        <color rgb="FFFCFCFF"/>
        <color rgb="FFF8696B"/>
      </colorScale>
    </cfRule>
    <cfRule type="colorScale" priority="2099">
      <colorScale>
        <cfvo type="min"/>
        <cfvo type="max"/>
        <color rgb="FFF8696B"/>
        <color rgb="FFFCFCFF"/>
      </colorScale>
    </cfRule>
    <cfRule type="colorScale" priority="2151">
      <colorScale>
        <cfvo type="min"/>
        <cfvo type="max"/>
        <color rgb="FFFCFCFF"/>
        <color rgb="FFF8696B"/>
      </colorScale>
    </cfRule>
    <cfRule type="colorScale" priority="2156">
      <colorScale>
        <cfvo type="min"/>
        <cfvo type="max"/>
        <color rgb="FFF8696B"/>
        <color rgb="FFFCFCFF"/>
      </colorScale>
    </cfRule>
    <cfRule type="colorScale" priority="2157">
      <colorScale>
        <cfvo type="min"/>
        <cfvo type="max"/>
        <color rgb="FFFCFCFF"/>
        <color rgb="FFF8696B"/>
      </colorScale>
    </cfRule>
    <cfRule type="colorScale" priority="2158">
      <colorScale>
        <cfvo type="min"/>
        <cfvo type="max"/>
        <color rgb="FFFCFCFF"/>
        <color rgb="FFF8696B"/>
      </colorScale>
    </cfRule>
    <cfRule type="colorScale" priority="2159">
      <colorScale>
        <cfvo type="min"/>
        <cfvo type="max"/>
        <color rgb="FFFCFCFF"/>
        <color rgb="FFF8696B"/>
      </colorScale>
    </cfRule>
    <cfRule type="colorScale" priority="2160">
      <colorScale>
        <cfvo type="min"/>
        <cfvo type="max"/>
        <color rgb="FFFCFCFF"/>
        <color rgb="FFF8696B"/>
      </colorScale>
    </cfRule>
    <cfRule type="colorScale" priority="2164">
      <colorScale>
        <cfvo type="min"/>
        <cfvo type="max"/>
        <color rgb="FFFCFCFF"/>
        <color rgb="FFF8696B"/>
      </colorScale>
    </cfRule>
    <cfRule type="colorScale" priority="2162">
      <colorScale>
        <cfvo type="min"/>
        <cfvo type="max"/>
        <color rgb="FFF8696B"/>
        <color rgb="FFFCFCFF"/>
      </colorScale>
    </cfRule>
    <cfRule type="colorScale" priority="2161">
      <colorScale>
        <cfvo type="min"/>
        <cfvo type="max"/>
        <color rgb="FFFCFCFF"/>
        <color rgb="FFF8696B"/>
      </colorScale>
    </cfRule>
  </conditionalFormatting>
  <conditionalFormatting sqref="L38:L44">
    <cfRule type="colorScale" priority="2180">
      <colorScale>
        <cfvo type="min"/>
        <cfvo type="max"/>
        <color rgb="FFFCFCFF"/>
        <color rgb="FFF8696B"/>
      </colorScale>
    </cfRule>
    <cfRule type="colorScale" priority="2065">
      <colorScale>
        <cfvo type="min"/>
        <cfvo type="max"/>
        <color rgb="FFFCFCFF"/>
        <color rgb="FFF8696B"/>
      </colorScale>
    </cfRule>
    <cfRule type="colorScale" priority="2181">
      <colorScale>
        <cfvo type="min"/>
        <cfvo type="max"/>
        <color rgb="FFF8696B"/>
        <color rgb="FFFCFCFF"/>
      </colorScale>
    </cfRule>
    <cfRule type="colorScale" priority="2179">
      <colorScale>
        <cfvo type="min"/>
        <cfvo type="max"/>
        <color rgb="FFF8696B"/>
        <color rgb="FFFCFCFF"/>
      </colorScale>
    </cfRule>
    <cfRule type="colorScale" priority="2178">
      <colorScale>
        <cfvo type="min"/>
        <cfvo type="max"/>
        <color rgb="FFFCFCFF"/>
        <color rgb="FFF8696B"/>
      </colorScale>
    </cfRule>
    <cfRule type="colorScale" priority="2177">
      <colorScale>
        <cfvo type="min"/>
        <cfvo type="max"/>
        <color rgb="FFFCFCFF"/>
        <color rgb="FFF8696B"/>
      </colorScale>
    </cfRule>
    <cfRule type="colorScale" priority="2176">
      <colorScale>
        <cfvo type="min"/>
        <cfvo type="max"/>
        <color rgb="FFFCFCFF"/>
        <color rgb="FFF8696B"/>
      </colorScale>
    </cfRule>
    <cfRule type="colorScale" priority="2087">
      <colorScale>
        <cfvo type="min"/>
        <cfvo type="max"/>
        <color rgb="FFFCFCFF"/>
        <color rgb="FFF8696B"/>
      </colorScale>
    </cfRule>
    <cfRule type="colorScale" priority="2086">
      <colorScale>
        <cfvo type="min"/>
        <cfvo type="max"/>
        <color rgb="FFFCFCFF"/>
        <color rgb="FFF8696B"/>
      </colorScale>
    </cfRule>
    <cfRule type="colorScale" priority="2085">
      <colorScale>
        <cfvo type="min"/>
        <cfvo type="max"/>
        <color rgb="FFF8696B"/>
        <color rgb="FFFCFCFF"/>
      </colorScale>
    </cfRule>
    <cfRule type="colorScale" priority="2058">
      <colorScale>
        <cfvo type="min"/>
        <cfvo type="max"/>
        <color rgb="FFFCFCFF"/>
        <color rgb="FFF8696B"/>
      </colorScale>
    </cfRule>
    <cfRule type="colorScale" priority="2059">
      <colorScale>
        <cfvo type="min"/>
        <cfvo type="max"/>
        <color rgb="FFFCFCFF"/>
        <color rgb="FFF8696B"/>
      </colorScale>
    </cfRule>
    <cfRule type="colorScale" priority="2060">
      <colorScale>
        <cfvo type="min"/>
        <cfvo type="max"/>
        <color rgb="FFFCFCFF"/>
        <color rgb="FFF8696B"/>
      </colorScale>
    </cfRule>
    <cfRule type="colorScale" priority="2061">
      <colorScale>
        <cfvo type="min"/>
        <cfvo type="max"/>
        <color rgb="FFF8696B"/>
        <color rgb="FFFCFCFF"/>
      </colorScale>
    </cfRule>
    <cfRule type="colorScale" priority="2062">
      <colorScale>
        <cfvo type="min"/>
        <cfvo type="max"/>
        <color rgb="FFFCFCFF"/>
        <color rgb="FFF8696B"/>
      </colorScale>
    </cfRule>
    <cfRule type="colorScale" priority="2063">
      <colorScale>
        <cfvo type="min"/>
        <cfvo type="max"/>
        <color rgb="FFFCFCFF"/>
        <color rgb="FFF8696B"/>
      </colorScale>
    </cfRule>
    <cfRule type="colorScale" priority="2175">
      <colorScale>
        <cfvo type="min"/>
        <cfvo type="max"/>
        <color rgb="FFFCFCFF"/>
        <color rgb="FFF8696B"/>
      </colorScale>
    </cfRule>
    <cfRule type="colorScale" priority="2174">
      <colorScale>
        <cfvo type="min"/>
        <cfvo type="max"/>
        <color rgb="FFFCFCFF"/>
        <color rgb="FFF8696B"/>
      </colorScale>
    </cfRule>
    <cfRule type="colorScale" priority="2173">
      <colorScale>
        <cfvo type="min"/>
        <cfvo type="max"/>
        <color rgb="FFFCFCFF"/>
        <color rgb="FFF8696B"/>
      </colorScale>
    </cfRule>
    <cfRule type="colorScale" priority="2172">
      <colorScale>
        <cfvo type="min"/>
        <cfvo type="max"/>
        <color rgb="FFFCFCFF"/>
        <color rgb="FFF8696B"/>
      </colorScale>
    </cfRule>
    <cfRule type="colorScale" priority="2171">
      <colorScale>
        <cfvo type="min"/>
        <cfvo type="max"/>
        <color rgb="FFFCFCFF"/>
        <color rgb="FFF8696B"/>
      </colorScale>
    </cfRule>
    <cfRule type="colorScale" priority="2170">
      <colorScale>
        <cfvo type="min"/>
        <cfvo type="max"/>
        <color rgb="FFF8696B"/>
        <color rgb="FFFCFCFF"/>
      </colorScale>
    </cfRule>
    <cfRule type="colorScale" priority="2169">
      <colorScale>
        <cfvo type="min"/>
        <cfvo type="max"/>
        <color rgb="FFFCFCFF"/>
        <color rgb="FFF8696B"/>
      </colorScale>
    </cfRule>
    <cfRule type="colorScale" priority="2168">
      <colorScale>
        <cfvo type="min"/>
        <cfvo type="max"/>
        <color rgb="FFFCFCFF"/>
        <color rgb="FFF8696B"/>
      </colorScale>
    </cfRule>
    <cfRule type="colorScale" priority="2167">
      <colorScale>
        <cfvo type="min"/>
        <cfvo type="max"/>
        <color rgb="FFFCFCFF"/>
        <color rgb="FFF8696B"/>
      </colorScale>
    </cfRule>
    <cfRule type="colorScale" priority="2166">
      <colorScale>
        <cfvo type="min"/>
        <cfvo type="max"/>
        <color rgb="FFFCFCFF"/>
        <color rgb="FFF8696B"/>
      </colorScale>
    </cfRule>
    <cfRule type="colorScale" priority="2165">
      <colorScale>
        <cfvo type="min"/>
        <cfvo type="max"/>
        <color rgb="FFFCFCFF"/>
        <color rgb="FFF8696B"/>
      </colorScale>
    </cfRule>
    <cfRule type="colorScale" priority="2100">
      <colorScale>
        <cfvo type="min"/>
        <cfvo type="max"/>
        <color rgb="FFFCFCFF"/>
        <color rgb="FFF8696B"/>
      </colorScale>
    </cfRule>
    <cfRule type="colorScale" priority="2101">
      <colorScale>
        <cfvo type="min"/>
        <cfvo type="max"/>
        <color rgb="FFFCFCFF"/>
        <color rgb="FFF8696B"/>
      </colorScale>
    </cfRule>
    <cfRule type="colorScale" priority="2102">
      <colorScale>
        <cfvo type="min"/>
        <cfvo type="max"/>
        <color rgb="FFFCFCFF"/>
        <color rgb="FFF8696B"/>
      </colorScale>
    </cfRule>
    <cfRule type="colorScale" priority="2103">
      <colorScale>
        <cfvo type="min"/>
        <cfvo type="max"/>
        <color rgb="FFF8696B"/>
        <color rgb="FFFCFCFF"/>
      </colorScale>
    </cfRule>
    <cfRule type="colorScale" priority="2104">
      <colorScale>
        <cfvo type="min"/>
        <cfvo type="max"/>
        <color rgb="FFFCFCFF"/>
        <color rgb="FFF8696B"/>
      </colorScale>
    </cfRule>
    <cfRule type="colorScale" priority="2105">
      <colorScale>
        <cfvo type="min"/>
        <cfvo type="max"/>
        <color rgb="FFFCFCFF"/>
        <color rgb="FFF8696B"/>
      </colorScale>
    </cfRule>
    <cfRule type="colorScale" priority="2106">
      <colorScale>
        <cfvo type="min"/>
        <cfvo type="max"/>
        <color rgb="FFF8696B"/>
        <color rgb="FFFCFCFF"/>
      </colorScale>
    </cfRule>
    <cfRule type="colorScale" priority="2107">
      <colorScale>
        <cfvo type="min"/>
        <cfvo type="max"/>
        <color rgb="FFFCFCFF"/>
        <color rgb="FFF8696B"/>
      </colorScale>
    </cfRule>
    <cfRule type="colorScale" priority="2108">
      <colorScale>
        <cfvo type="min"/>
        <cfvo type="max"/>
        <color rgb="FFFCFCFF"/>
        <color rgb="FFF8696B"/>
      </colorScale>
    </cfRule>
    <cfRule type="colorScale" priority="2109">
      <colorScale>
        <cfvo type="min"/>
        <cfvo type="max"/>
        <color rgb="FFF8696B"/>
        <color rgb="FFFCFCFF"/>
      </colorScale>
    </cfRule>
    <cfRule type="colorScale" priority="2110">
      <colorScale>
        <cfvo type="min"/>
        <cfvo type="max"/>
        <color rgb="FFFCFCFF"/>
        <color rgb="FFF8696B"/>
      </colorScale>
    </cfRule>
    <cfRule type="colorScale" priority="2064">
      <colorScale>
        <cfvo type="min"/>
        <cfvo type="max"/>
        <color rgb="FFF8696B"/>
        <color rgb="FFFCFCFF"/>
      </colorScale>
    </cfRule>
    <cfRule type="colorScale" priority="2115">
      <colorScale>
        <cfvo type="min"/>
        <cfvo type="max"/>
        <color rgb="FFFCFCFF"/>
        <color rgb="FFF8696B"/>
      </colorScale>
    </cfRule>
    <cfRule type="colorScale" priority="2066">
      <colorScale>
        <cfvo type="min"/>
        <cfvo type="max"/>
        <color rgb="FFFCFCFF"/>
        <color rgb="FFF8696B"/>
      </colorScale>
    </cfRule>
    <cfRule type="colorScale" priority="2067">
      <colorScale>
        <cfvo type="min"/>
        <cfvo type="max"/>
        <color rgb="FFF8696B"/>
        <color rgb="FFFCFCFF"/>
      </colorScale>
    </cfRule>
    <cfRule type="colorScale" priority="2068">
      <colorScale>
        <cfvo type="min"/>
        <cfvo type="max"/>
        <color rgb="FFFCFCFF"/>
        <color rgb="FFF8696B"/>
      </colorScale>
    </cfRule>
    <cfRule type="colorScale" priority="2084">
      <colorScale>
        <cfvo type="min"/>
        <cfvo type="max"/>
        <color rgb="FFFCFCFF"/>
        <color rgb="FFF8696B"/>
      </colorScale>
    </cfRule>
    <cfRule type="colorScale" priority="2083">
      <colorScale>
        <cfvo type="min"/>
        <cfvo type="max"/>
        <color rgb="FFFCFCFF"/>
        <color rgb="FFF8696B"/>
      </colorScale>
    </cfRule>
    <cfRule type="colorScale" priority="2125">
      <colorScale>
        <cfvo type="min"/>
        <cfvo type="max"/>
        <color rgb="FFFCFCFF"/>
        <color rgb="FFF8696B"/>
      </colorScale>
    </cfRule>
    <cfRule type="colorScale" priority="2126">
      <colorScale>
        <cfvo type="min"/>
        <cfvo type="max"/>
        <color rgb="FFFCFCFF"/>
        <color rgb="FFF8696B"/>
      </colorScale>
    </cfRule>
    <cfRule type="colorScale" priority="2127">
      <colorScale>
        <cfvo type="min"/>
        <cfvo type="max"/>
        <color rgb="FFF8696B"/>
        <color rgb="FFFCFCFF"/>
      </colorScale>
    </cfRule>
    <cfRule type="colorScale" priority="2073">
      <colorScale>
        <cfvo type="min"/>
        <cfvo type="max"/>
        <color rgb="FFFCFCFF"/>
        <color rgb="FFF8696B"/>
      </colorScale>
    </cfRule>
    <cfRule type="colorScale" priority="2128">
      <colorScale>
        <cfvo type="min"/>
        <cfvo type="max"/>
        <color rgb="FFFCFCFF"/>
        <color rgb="FFF8696B"/>
      </colorScale>
    </cfRule>
    <cfRule type="colorScale" priority="2129">
      <colorScale>
        <cfvo type="min"/>
        <cfvo type="max"/>
        <color rgb="FFFCFCFF"/>
        <color rgb="FFF8696B"/>
      </colorScale>
    </cfRule>
    <cfRule type="colorScale" priority="2130">
      <colorScale>
        <cfvo type="min"/>
        <cfvo type="max"/>
        <color rgb="FFFCFCFF"/>
        <color rgb="FFF8696B"/>
      </colorScale>
    </cfRule>
  </conditionalFormatting>
  <conditionalFormatting sqref="L41:L44">
    <cfRule type="colorScale" priority="2149">
      <colorScale>
        <cfvo type="min"/>
        <cfvo type="max"/>
        <color rgb="FFFCFCFF"/>
        <color rgb="FFF8696B"/>
      </colorScale>
    </cfRule>
    <cfRule type="colorScale" priority="2143">
      <colorScale>
        <cfvo type="min"/>
        <cfvo type="max"/>
        <color rgb="FFF8696B"/>
        <color rgb="FFFCFCFF"/>
      </colorScale>
    </cfRule>
    <cfRule type="colorScale" priority="2095">
      <colorScale>
        <cfvo type="min"/>
        <cfvo type="max"/>
        <color rgb="FFFCFCFF"/>
        <color rgb="FFF8696B"/>
      </colorScale>
    </cfRule>
    <cfRule type="colorScale" priority="2096">
      <colorScale>
        <cfvo type="min"/>
        <cfvo type="max"/>
        <color rgb="FFF8696B"/>
        <color rgb="FFFCFCFF"/>
      </colorScale>
    </cfRule>
    <cfRule type="colorScale" priority="2052">
      <colorScale>
        <cfvo type="min"/>
        <cfvo type="max"/>
        <color rgb="FFFCFCFF"/>
        <color rgb="FFF8696B"/>
      </colorScale>
    </cfRule>
    <cfRule type="colorScale" priority="2053">
      <colorScale>
        <cfvo type="min"/>
        <cfvo type="max"/>
        <color rgb="FFFCFCFF"/>
        <color rgb="FFF8696B"/>
      </colorScale>
    </cfRule>
    <cfRule type="colorScale" priority="2137">
      <colorScale>
        <cfvo type="min"/>
        <cfvo type="max"/>
        <color rgb="FFFCFCFF"/>
        <color rgb="FFF8696B"/>
      </colorScale>
    </cfRule>
    <cfRule type="colorScale" priority="2138">
      <colorScale>
        <cfvo type="min"/>
        <cfvo type="max"/>
        <color rgb="FFFCFCFF"/>
        <color rgb="FFF8696B"/>
      </colorScale>
    </cfRule>
    <cfRule type="colorScale" priority="2054">
      <colorScale>
        <cfvo type="min"/>
        <cfvo type="max"/>
        <color rgb="FFF8696B"/>
        <color rgb="FFFCFCFF"/>
      </colorScale>
    </cfRule>
    <cfRule type="colorScale" priority="2139">
      <colorScale>
        <cfvo type="min"/>
        <cfvo type="max"/>
        <color rgb="FFFCFCFF"/>
        <color rgb="FFF8696B"/>
      </colorScale>
    </cfRule>
    <cfRule type="colorScale" priority="2140">
      <colorScale>
        <cfvo type="min"/>
        <cfvo type="max"/>
        <color rgb="FFFCFCFF"/>
        <color rgb="FFF8696B"/>
      </colorScale>
    </cfRule>
    <cfRule type="colorScale" priority="2141">
      <colorScale>
        <cfvo type="min"/>
        <cfvo type="max"/>
        <color rgb="FFFCFCFF"/>
        <color rgb="FFF8696B"/>
      </colorScale>
    </cfRule>
    <cfRule type="colorScale" priority="2142">
      <colorScale>
        <cfvo type="min"/>
        <cfvo type="max"/>
        <color rgb="FFFCFCFF"/>
        <color rgb="FFF8696B"/>
      </colorScale>
    </cfRule>
    <cfRule type="colorScale" priority="2094">
      <colorScale>
        <cfvo type="min"/>
        <cfvo type="max"/>
        <color rgb="FFFCFCFF"/>
        <color rgb="FFF8696B"/>
      </colorScale>
    </cfRule>
    <cfRule type="colorScale" priority="2144">
      <colorScale>
        <cfvo type="min"/>
        <cfvo type="max"/>
        <color rgb="FFFCFCFF"/>
        <color rgb="FFF8696B"/>
      </colorScale>
    </cfRule>
    <cfRule type="colorScale" priority="2145">
      <colorScale>
        <cfvo type="min"/>
        <cfvo type="max"/>
        <color rgb="FFFCFCFF"/>
        <color rgb="FFF8696B"/>
      </colorScale>
    </cfRule>
    <cfRule type="colorScale" priority="2150">
      <colorScale>
        <cfvo type="min"/>
        <cfvo type="max"/>
        <color rgb="FFFCFCFF"/>
        <color rgb="FFF8696B"/>
      </colorScale>
    </cfRule>
  </conditionalFormatting>
  <conditionalFormatting sqref="L42:L44">
    <cfRule type="colorScale" priority="2147">
      <colorScale>
        <cfvo type="min"/>
        <cfvo type="max"/>
        <color rgb="FFFCFCFF"/>
        <color rgb="FFF8696B"/>
      </colorScale>
    </cfRule>
    <cfRule type="colorScale" priority="2148">
      <colorScale>
        <cfvo type="min"/>
        <cfvo type="max"/>
        <color rgb="FFF8696B"/>
        <color rgb="FFFCFCFF"/>
      </colorScale>
    </cfRule>
    <cfRule type="colorScale" priority="2146">
      <colorScale>
        <cfvo type="min"/>
        <cfvo type="max"/>
        <color rgb="FFFCFCFF"/>
        <color rgb="FFF8696B"/>
      </colorScale>
    </cfRule>
    <cfRule type="colorScale" priority="2131">
      <colorScale>
        <cfvo type="min"/>
        <cfvo type="max"/>
        <color rgb="FFFCFCFF"/>
        <color rgb="FFF8696B"/>
      </colorScale>
    </cfRule>
    <cfRule type="colorScale" priority="2136">
      <colorScale>
        <cfvo type="min"/>
        <cfvo type="max"/>
        <color rgb="FFF8696B"/>
        <color rgb="FFFCFCFF"/>
      </colorScale>
    </cfRule>
    <cfRule type="colorScale" priority="2135">
      <colorScale>
        <cfvo type="min"/>
        <cfvo type="max"/>
        <color rgb="FFFCFCFF"/>
        <color rgb="FFF8696B"/>
      </colorScale>
    </cfRule>
    <cfRule type="colorScale" priority="2134">
      <colorScale>
        <cfvo type="min"/>
        <cfvo type="max"/>
        <color rgb="FFFCFCFF"/>
        <color rgb="FFF8696B"/>
      </colorScale>
    </cfRule>
    <cfRule type="colorScale" priority="2133">
      <colorScale>
        <cfvo type="min"/>
        <cfvo type="max"/>
        <color rgb="FFFCFCFF"/>
        <color rgb="FFF8696B"/>
      </colorScale>
    </cfRule>
    <cfRule type="colorScale" priority="2132">
      <colorScale>
        <cfvo type="min"/>
        <cfvo type="max"/>
        <color rgb="FFFCFCFF"/>
        <color rgb="FFF8696B"/>
      </colorScale>
    </cfRule>
  </conditionalFormatting>
  <conditionalFormatting sqref="L43:L44">
    <cfRule type="colorScale" priority="2091">
      <colorScale>
        <cfvo type="min"/>
        <cfvo type="max"/>
        <color rgb="FFFCFCFF"/>
        <color rgb="FFF8696B"/>
      </colorScale>
    </cfRule>
    <cfRule type="colorScale" priority="2092">
      <colorScale>
        <cfvo type="min"/>
        <cfvo type="max"/>
        <color rgb="FFFCFCFF"/>
        <color rgb="FFF8696B"/>
      </colorScale>
    </cfRule>
    <cfRule type="colorScale" priority="2093">
      <colorScale>
        <cfvo type="min"/>
        <cfvo type="max"/>
        <color rgb="FFFCFCFF"/>
        <color rgb="FFF8696B"/>
      </colorScale>
    </cfRule>
    <cfRule type="colorScale" priority="2090">
      <colorScale>
        <cfvo type="min"/>
        <cfvo type="max"/>
        <color rgb="FFF8696B"/>
        <color rgb="FFFCFCFF"/>
      </colorScale>
    </cfRule>
    <cfRule type="colorScale" priority="2089">
      <colorScale>
        <cfvo type="min"/>
        <cfvo type="max"/>
        <color rgb="FFFCFCFF"/>
        <color rgb="FFF8696B"/>
      </colorScale>
    </cfRule>
    <cfRule type="colorScale" priority="2088">
      <colorScale>
        <cfvo type="min"/>
        <cfvo type="max"/>
        <color rgb="FFFCFCFF"/>
        <color rgb="FFF8696B"/>
      </colorScale>
    </cfRule>
    <cfRule type="colorScale" priority="2082">
      <colorScale>
        <cfvo type="min"/>
        <cfvo type="max"/>
        <color rgb="FFF8696B"/>
        <color rgb="FFFCFCFF"/>
      </colorScale>
    </cfRule>
    <cfRule type="colorScale" priority="2124">
      <colorScale>
        <cfvo type="min"/>
        <cfvo type="max"/>
        <color rgb="FFF8696B"/>
        <color rgb="FFFCFCFF"/>
      </colorScale>
    </cfRule>
    <cfRule type="colorScale" priority="2123">
      <colorScale>
        <cfvo type="min"/>
        <cfvo type="max"/>
        <color rgb="FFFCFCFF"/>
        <color rgb="FFF8696B"/>
      </colorScale>
    </cfRule>
    <cfRule type="colorScale" priority="2122">
      <colorScale>
        <cfvo type="min"/>
        <cfvo type="max"/>
        <color rgb="FFFCFCFF"/>
        <color rgb="FFF8696B"/>
      </colorScale>
    </cfRule>
    <cfRule type="colorScale" priority="2080">
      <colorScale>
        <cfvo type="min"/>
        <cfvo type="max"/>
        <color rgb="FFFCFCFF"/>
        <color rgb="FFF8696B"/>
      </colorScale>
    </cfRule>
    <cfRule type="colorScale" priority="2114">
      <colorScale>
        <cfvo type="min"/>
        <cfvo type="max"/>
        <color rgb="FFF8696B"/>
        <color rgb="FFFCFCFF"/>
      </colorScale>
    </cfRule>
    <cfRule type="colorScale" priority="2047">
      <colorScale>
        <cfvo type="min"/>
        <cfvo type="max"/>
        <color rgb="FFFCFCFF"/>
        <color rgb="FFF8696B"/>
      </colorScale>
    </cfRule>
    <cfRule type="colorScale" priority="2048">
      <colorScale>
        <cfvo type="min"/>
        <cfvo type="max"/>
        <color rgb="FFF8696B"/>
        <color rgb="FFFCFCFF"/>
      </colorScale>
    </cfRule>
    <cfRule type="colorScale" priority="2049">
      <colorScale>
        <cfvo type="min"/>
        <cfvo type="max"/>
        <color rgb="FFFCFCFF"/>
        <color rgb="FFF8696B"/>
      </colorScale>
    </cfRule>
    <cfRule type="colorScale" priority="2050">
      <colorScale>
        <cfvo type="min"/>
        <cfvo type="max"/>
        <color rgb="FFFCFCFF"/>
        <color rgb="FFF8696B"/>
      </colorScale>
    </cfRule>
    <cfRule type="colorScale" priority="2051">
      <colorScale>
        <cfvo type="min"/>
        <cfvo type="max"/>
        <color rgb="FFFCFCFF"/>
        <color rgb="FFF8696B"/>
      </colorScale>
    </cfRule>
    <cfRule type="colorScale" priority="2046">
      <colorScale>
        <cfvo type="min"/>
        <cfvo type="max"/>
        <color rgb="FFFCFCFF"/>
        <color rgb="FFF8696B"/>
      </colorScale>
    </cfRule>
    <cfRule type="colorScale" priority="2069">
      <colorScale>
        <cfvo type="min"/>
        <cfvo type="max"/>
        <color rgb="FFFCFCFF"/>
        <color rgb="FFF8696B"/>
      </colorScale>
    </cfRule>
    <cfRule type="colorScale" priority="2070">
      <colorScale>
        <cfvo type="min"/>
        <cfvo type="max"/>
        <color rgb="FFFCFCFF"/>
        <color rgb="FFF8696B"/>
      </colorScale>
    </cfRule>
    <cfRule type="colorScale" priority="2071">
      <colorScale>
        <cfvo type="min"/>
        <cfvo type="max"/>
        <color rgb="FFFCFCFF"/>
        <color rgb="FFF8696B"/>
      </colorScale>
    </cfRule>
    <cfRule type="colorScale" priority="2072">
      <colorScale>
        <cfvo type="min"/>
        <cfvo type="max"/>
        <color rgb="FFF8696B"/>
        <color rgb="FFFCFCFF"/>
      </colorScale>
    </cfRule>
    <cfRule type="colorScale" priority="2081">
      <colorScale>
        <cfvo type="min"/>
        <cfvo type="max"/>
        <color rgb="FFFCFCFF"/>
        <color rgb="FFF8696B"/>
      </colorScale>
    </cfRule>
    <cfRule type="colorScale" priority="2113">
      <colorScale>
        <cfvo type="min"/>
        <cfvo type="max"/>
        <color rgb="FFFCFCFF"/>
        <color rgb="FFF8696B"/>
      </colorScale>
    </cfRule>
    <cfRule type="colorScale" priority="2112">
      <colorScale>
        <cfvo type="min"/>
        <cfvo type="max"/>
        <color rgb="FFFCFCFF"/>
        <color rgb="FFF8696B"/>
      </colorScale>
    </cfRule>
    <cfRule type="colorScale" priority="2111">
      <colorScale>
        <cfvo type="min"/>
        <cfvo type="max"/>
        <color rgb="FFFCFCFF"/>
        <color rgb="FFF8696B"/>
      </colorScale>
    </cfRule>
  </conditionalFormatting>
  <conditionalFormatting sqref="L44">
    <cfRule type="colorScale" priority="2077">
      <colorScale>
        <cfvo type="min"/>
        <cfvo type="max"/>
        <color rgb="FFFCFCFF"/>
        <color rgb="FFF8696B"/>
      </colorScale>
    </cfRule>
    <cfRule type="colorScale" priority="2076">
      <colorScale>
        <cfvo type="min"/>
        <cfvo type="max"/>
        <color rgb="FFF8696B"/>
        <color rgb="FFFCFCFF"/>
      </colorScale>
    </cfRule>
    <cfRule type="colorScale" priority="2075">
      <colorScale>
        <cfvo type="min"/>
        <cfvo type="max"/>
        <color rgb="FFFCFCFF"/>
        <color rgb="FFF8696B"/>
      </colorScale>
    </cfRule>
    <cfRule type="colorScale" priority="2074">
      <colorScale>
        <cfvo type="min"/>
        <cfvo type="max"/>
        <color rgb="FFFCFCFF"/>
        <color rgb="FFF8696B"/>
      </colorScale>
    </cfRule>
    <cfRule type="colorScale" priority="2078">
      <colorScale>
        <cfvo type="min"/>
        <cfvo type="max"/>
        <color rgb="FFFCFCFF"/>
        <color rgb="FFF8696B"/>
      </colorScale>
    </cfRule>
    <cfRule type="colorScale" priority="2116">
      <colorScale>
        <cfvo type="min"/>
        <cfvo type="max"/>
        <color rgb="FFFCFCFF"/>
        <color rgb="FFF8696B"/>
      </colorScale>
    </cfRule>
    <cfRule type="colorScale" priority="2117">
      <colorScale>
        <cfvo type="min"/>
        <cfvo type="max"/>
        <color rgb="FFFCFCFF"/>
        <color rgb="FFF8696B"/>
      </colorScale>
    </cfRule>
    <cfRule type="colorScale" priority="2118">
      <colorScale>
        <cfvo type="min"/>
        <cfvo type="max"/>
        <color rgb="FFF8696B"/>
        <color rgb="FFFCFCFF"/>
      </colorScale>
    </cfRule>
    <cfRule type="colorScale" priority="2119">
      <colorScale>
        <cfvo type="min"/>
        <cfvo type="max"/>
        <color rgb="FFFCFCFF"/>
        <color rgb="FFF8696B"/>
      </colorScale>
    </cfRule>
    <cfRule type="colorScale" priority="2120">
      <colorScale>
        <cfvo type="min"/>
        <cfvo type="max"/>
        <color rgb="FFFCFCFF"/>
        <color rgb="FFF8696B"/>
      </colorScale>
    </cfRule>
    <cfRule type="colorScale" priority="2079">
      <colorScale>
        <cfvo type="min"/>
        <cfvo type="max"/>
        <color rgb="FFF8696B"/>
        <color rgb="FFFCFCFF"/>
      </colorScale>
    </cfRule>
    <cfRule type="colorScale" priority="2121">
      <colorScale>
        <cfvo type="min"/>
        <cfvo type="max"/>
        <color rgb="FFF8696B"/>
        <color rgb="FFFCFCFF"/>
      </colorScale>
    </cfRule>
  </conditionalFormatting>
  <conditionalFormatting sqref="M29:M42">
    <cfRule type="colorScale" priority="2303">
      <colorScale>
        <cfvo type="min"/>
        <cfvo type="max"/>
        <color rgb="FFFCFCFF"/>
        <color rgb="FFF8696B"/>
      </colorScale>
    </cfRule>
    <cfRule type="colorScale" priority="2302">
      <colorScale>
        <cfvo type="min"/>
        <cfvo type="max"/>
        <color rgb="FFFCFCFF"/>
        <color rgb="FFF8696B"/>
      </colorScale>
    </cfRule>
    <cfRule type="colorScale" priority="2301">
      <colorScale>
        <cfvo type="min"/>
        <cfvo type="max"/>
        <color rgb="FFFCFCFF"/>
        <color rgb="FFF8696B"/>
      </colorScale>
    </cfRule>
  </conditionalFormatting>
  <conditionalFormatting sqref="M29:M44">
    <cfRule type="colorScale" priority="2304">
      <colorScale>
        <cfvo type="min"/>
        <cfvo type="max"/>
        <color rgb="FFFCFCFF"/>
        <color rgb="FFF8696B"/>
      </colorScale>
    </cfRule>
    <cfRule type="colorScale" priority="2300">
      <colorScale>
        <cfvo type="min"/>
        <cfvo type="max"/>
        <color rgb="FFFCFCFF"/>
        <color rgb="FFF8696B"/>
      </colorScale>
    </cfRule>
    <cfRule type="colorScale" priority="2305">
      <colorScale>
        <cfvo type="min"/>
        <cfvo type="max"/>
        <color rgb="FFF8696B"/>
        <color rgb="FFFCFCFF"/>
      </colorScale>
    </cfRule>
  </conditionalFormatting>
  <conditionalFormatting sqref="M43:M44">
    <cfRule type="colorScale" priority="2298">
      <colorScale>
        <cfvo type="min"/>
        <cfvo type="max"/>
        <color rgb="FFF8696B"/>
        <color rgb="FFFCFCFF"/>
      </colorScale>
    </cfRule>
    <cfRule type="colorScale" priority="2297">
      <colorScale>
        <cfvo type="min"/>
        <cfvo type="max"/>
        <color rgb="FFFCFCFF"/>
        <color rgb="FFF8696B"/>
      </colorScale>
    </cfRule>
    <cfRule type="colorScale" priority="2296">
      <colorScale>
        <cfvo type="min"/>
        <cfvo type="max"/>
        <color rgb="FFFCFCFF"/>
        <color rgb="FFF8696B"/>
      </colorScale>
    </cfRule>
    <cfRule type="colorScale" priority="2295">
      <colorScale>
        <cfvo type="min"/>
        <cfvo type="max"/>
        <color rgb="FFFCFCFF"/>
        <color rgb="FFF8696B"/>
      </colorScale>
    </cfRule>
  </conditionalFormatting>
  <conditionalFormatting sqref="M58:M61">
    <cfRule type="colorScale" priority="1744">
      <colorScale>
        <cfvo type="min"/>
        <cfvo type="max"/>
        <color rgb="FFFCFCFF"/>
        <color rgb="FFF8696B"/>
      </colorScale>
    </cfRule>
    <cfRule type="colorScale" priority="1745">
      <colorScale>
        <cfvo type="min"/>
        <cfvo type="max"/>
        <color rgb="FFF8696B"/>
        <color rgb="FFFCFCFF"/>
      </colorScale>
    </cfRule>
    <cfRule type="colorScale" priority="1749">
      <colorScale>
        <cfvo type="min"/>
        <cfvo type="max"/>
        <color rgb="FFF8696B"/>
        <color rgb="FFFCFCFF"/>
      </colorScale>
    </cfRule>
    <cfRule type="colorScale" priority="1748">
      <colorScale>
        <cfvo type="min"/>
        <cfvo type="max"/>
        <color rgb="FFFCFCFF"/>
        <color rgb="FFF8696B"/>
      </colorScale>
    </cfRule>
    <cfRule type="colorScale" priority="1747">
      <colorScale>
        <cfvo type="min"/>
        <cfvo type="max"/>
        <color rgb="FFFCFCFF"/>
        <color rgb="FFF8696B"/>
      </colorScale>
    </cfRule>
    <cfRule type="colorScale" priority="1743">
      <colorScale>
        <cfvo type="min"/>
        <cfvo type="max"/>
        <color rgb="FFFCFCFF"/>
        <color rgb="FFF8696B"/>
      </colorScale>
    </cfRule>
    <cfRule type="colorScale" priority="1738">
      <colorScale>
        <cfvo type="min"/>
        <cfvo type="max"/>
        <color rgb="FFFCFCFF"/>
        <color rgb="FFF8696B"/>
      </colorScale>
    </cfRule>
    <cfRule type="colorScale" priority="1739">
      <colorScale>
        <cfvo type="min"/>
        <cfvo type="max"/>
        <color rgb="FFFCFCFF"/>
        <color rgb="FFF8696B"/>
      </colorScale>
    </cfRule>
    <cfRule type="colorScale" priority="1740">
      <colorScale>
        <cfvo type="min"/>
        <cfvo type="max"/>
        <color rgb="FFF8696B"/>
        <color rgb="FFFCFCFF"/>
      </colorScale>
    </cfRule>
  </conditionalFormatting>
  <conditionalFormatting sqref="M29:Y36 B37:Y44">
    <cfRule type="colorScale" priority="1792">
      <colorScale>
        <cfvo type="min"/>
        <cfvo type="max"/>
        <color rgb="FFFCFCFF"/>
        <color rgb="FFF8696B"/>
      </colorScale>
    </cfRule>
    <cfRule type="colorScale" priority="317">
      <colorScale>
        <cfvo type="min"/>
        <cfvo type="max"/>
        <color rgb="FFFCFCFF"/>
        <color rgb="FFF8696B"/>
      </colorScale>
    </cfRule>
  </conditionalFormatting>
  <conditionalFormatting sqref="N29">
    <cfRule type="colorScale" priority="1921">
      <colorScale>
        <cfvo type="min"/>
        <cfvo type="max"/>
        <color rgb="FFFCFCFF"/>
        <color rgb="FFF8696B"/>
      </colorScale>
    </cfRule>
    <cfRule type="colorScale" priority="1915">
      <colorScale>
        <cfvo type="min"/>
        <cfvo type="max"/>
        <color rgb="FFFCFCFF"/>
        <color rgb="FFF8696B"/>
      </colorScale>
    </cfRule>
    <cfRule type="colorScale" priority="1923">
      <colorScale>
        <cfvo type="min"/>
        <cfvo type="max"/>
        <color rgb="FFF8696B"/>
        <color rgb="FFFCFCFF"/>
      </colorScale>
    </cfRule>
    <cfRule type="colorScale" priority="1922">
      <colorScale>
        <cfvo type="min"/>
        <cfvo type="max"/>
        <color rgb="FFFCFCFF"/>
        <color rgb="FFF8696B"/>
      </colorScale>
    </cfRule>
    <cfRule type="colorScale" priority="1920">
      <colorScale>
        <cfvo type="min"/>
        <cfvo type="max"/>
        <color rgb="FFF8696B"/>
        <color rgb="FFFCFCFF"/>
      </colorScale>
    </cfRule>
    <cfRule type="colorScale" priority="1919">
      <colorScale>
        <cfvo type="min"/>
        <cfvo type="max"/>
        <color rgb="FFFCFCFF"/>
        <color rgb="FFF8696B"/>
      </colorScale>
    </cfRule>
    <cfRule type="colorScale" priority="1918">
      <colorScale>
        <cfvo type="min"/>
        <cfvo type="max"/>
        <color rgb="FFFCFCFF"/>
        <color rgb="FFF8696B"/>
      </colorScale>
    </cfRule>
    <cfRule type="colorScale" priority="1917">
      <colorScale>
        <cfvo type="min"/>
        <cfvo type="max"/>
        <color rgb="FFFCFCFF"/>
        <color rgb="FFF8696B"/>
      </colorScale>
    </cfRule>
    <cfRule type="colorScale" priority="1916">
      <colorScale>
        <cfvo type="min"/>
        <cfvo type="max"/>
        <color rgb="FFFCFCFF"/>
        <color rgb="FFF8696B"/>
      </colorScale>
    </cfRule>
    <cfRule type="colorScale" priority="1914">
      <colorScale>
        <cfvo type="min"/>
        <cfvo type="max"/>
        <color rgb="FFFCFCFF"/>
        <color rgb="FFF8696B"/>
      </colorScale>
    </cfRule>
    <cfRule type="colorScale" priority="1913">
      <colorScale>
        <cfvo type="min"/>
        <cfvo type="max"/>
        <color rgb="FFFCFCFF"/>
        <color rgb="FFF8696B"/>
      </colorScale>
    </cfRule>
  </conditionalFormatting>
  <conditionalFormatting sqref="N30">
    <cfRule type="colorScale" priority="1809">
      <colorScale>
        <cfvo type="min"/>
        <cfvo type="max"/>
        <color rgb="FFF8696B"/>
        <color rgb="FFFCFCFF"/>
      </colorScale>
    </cfRule>
    <cfRule type="colorScale" priority="1804">
      <colorScale>
        <cfvo type="min"/>
        <cfvo type="max"/>
        <color rgb="FFFCFCFF"/>
        <color rgb="FFF8696B"/>
      </colorScale>
    </cfRule>
    <cfRule type="colorScale" priority="1801">
      <colorScale>
        <cfvo type="min"/>
        <cfvo type="max"/>
        <color rgb="FFFCFCFF"/>
        <color rgb="FFF8696B"/>
      </colorScale>
    </cfRule>
    <cfRule type="colorScale" priority="1808">
      <colorScale>
        <cfvo type="min"/>
        <cfvo type="max"/>
        <color rgb="FFFCFCFF"/>
        <color rgb="FFF8696B"/>
      </colorScale>
    </cfRule>
    <cfRule type="colorScale" priority="1807">
      <colorScale>
        <cfvo type="min"/>
        <cfvo type="max"/>
        <color rgb="FFFCFCFF"/>
        <color rgb="FFF8696B"/>
      </colorScale>
    </cfRule>
    <cfRule type="colorScale" priority="1806">
      <colorScale>
        <cfvo type="min"/>
        <cfvo type="max"/>
        <color rgb="FFF8696B"/>
        <color rgb="FFFCFCFF"/>
      </colorScale>
    </cfRule>
    <cfRule type="colorScale" priority="1805">
      <colorScale>
        <cfvo type="min"/>
        <cfvo type="max"/>
        <color rgb="FFFCFCFF"/>
        <color rgb="FFF8696B"/>
      </colorScale>
    </cfRule>
    <cfRule type="colorScale" priority="1799">
      <colorScale>
        <cfvo type="min"/>
        <cfvo type="max"/>
        <color rgb="FFFCFCFF"/>
        <color rgb="FFF8696B"/>
      </colorScale>
    </cfRule>
    <cfRule type="colorScale" priority="1800">
      <colorScale>
        <cfvo type="min"/>
        <cfvo type="max"/>
        <color rgb="FFFCFCFF"/>
        <color rgb="FFF8696B"/>
      </colorScale>
    </cfRule>
    <cfRule type="colorScale" priority="1803">
      <colorScale>
        <cfvo type="min"/>
        <cfvo type="max"/>
        <color rgb="FFFCFCFF"/>
        <color rgb="FFF8696B"/>
      </colorScale>
    </cfRule>
    <cfRule type="colorScale" priority="1802">
      <colorScale>
        <cfvo type="min"/>
        <cfvo type="max"/>
        <color rgb="FFFCFCFF"/>
        <color rgb="FFF8696B"/>
      </colorScale>
    </cfRule>
  </conditionalFormatting>
  <conditionalFormatting sqref="N30:N35 O30:X36">
    <cfRule type="colorScale" priority="555">
      <colorScale>
        <cfvo type="min"/>
        <cfvo type="max"/>
        <color rgb="FFFCFCFF"/>
        <color rgb="FFF8696B"/>
      </colorScale>
    </cfRule>
    <cfRule type="colorScale" priority="983">
      <colorScale>
        <cfvo type="min"/>
        <cfvo type="max"/>
        <color rgb="FFFCFCFF"/>
        <color rgb="FFF8696B"/>
      </colorScale>
    </cfRule>
    <cfRule type="colorScale" priority="1411">
      <colorScale>
        <cfvo type="min"/>
        <cfvo type="max"/>
        <color rgb="FFFCFCFF"/>
        <color rgb="FFF8696B"/>
      </colorScale>
    </cfRule>
  </conditionalFormatting>
  <conditionalFormatting sqref="N31:N33">
    <cfRule type="colorScale" priority="2229">
      <colorScale>
        <cfvo type="min"/>
        <cfvo type="max"/>
        <color rgb="FFF8696B"/>
        <color rgb="FFFCFCFF"/>
      </colorScale>
    </cfRule>
    <cfRule type="colorScale" priority="2228">
      <colorScale>
        <cfvo type="min"/>
        <cfvo type="max"/>
        <color rgb="FFFCFCFF"/>
        <color rgb="FFF8696B"/>
      </colorScale>
    </cfRule>
    <cfRule type="colorScale" priority="2227">
      <colorScale>
        <cfvo type="min"/>
        <cfvo type="max"/>
        <color rgb="FFFCFCFF"/>
        <color rgb="FFF8696B"/>
      </colorScale>
    </cfRule>
    <cfRule type="colorScale" priority="2226">
      <colorScale>
        <cfvo type="min"/>
        <cfvo type="max"/>
        <color rgb="FFFCFCFF"/>
        <color rgb="FFF8696B"/>
      </colorScale>
    </cfRule>
    <cfRule type="colorScale" priority="2225">
      <colorScale>
        <cfvo type="min"/>
        <cfvo type="max"/>
        <color rgb="FFFCFCFF"/>
        <color rgb="FFF8696B"/>
      </colorScale>
    </cfRule>
    <cfRule type="colorScale" priority="2224">
      <colorScale>
        <cfvo type="min"/>
        <cfvo type="max"/>
        <color rgb="FFFCFCFF"/>
        <color rgb="FFF8696B"/>
      </colorScale>
    </cfRule>
  </conditionalFormatting>
  <conditionalFormatting sqref="N31:N42 N44 Y29:Y30 O31:Y44">
    <cfRule type="colorScale" priority="2044">
      <colorScale>
        <cfvo type="min"/>
        <cfvo type="max"/>
        <color rgb="FFFCFCFF"/>
        <color rgb="FFF8696B"/>
      </colorScale>
    </cfRule>
  </conditionalFormatting>
  <conditionalFormatting sqref="N32">
    <cfRule type="colorScale" priority="2221">
      <colorScale>
        <cfvo type="min"/>
        <cfvo type="max"/>
        <color rgb="FFF8696B"/>
        <color rgb="FFFCFCFF"/>
      </colorScale>
    </cfRule>
    <cfRule type="colorScale" priority="2219">
      <colorScale>
        <cfvo type="min"/>
        <cfvo type="max"/>
        <color rgb="FFFCFCFF"/>
        <color rgb="FFF8696B"/>
      </colorScale>
    </cfRule>
    <cfRule type="colorScale" priority="2216">
      <colorScale>
        <cfvo type="min"/>
        <cfvo type="max"/>
        <color rgb="FFFCFCFF"/>
        <color rgb="FFF8696B"/>
      </colorScale>
    </cfRule>
    <cfRule type="colorScale" priority="2217">
      <colorScale>
        <cfvo type="min"/>
        <cfvo type="max"/>
        <color rgb="FFFCFCFF"/>
        <color rgb="FFF8696B"/>
      </colorScale>
    </cfRule>
    <cfRule type="colorScale" priority="2220">
      <colorScale>
        <cfvo type="min"/>
        <cfvo type="max"/>
        <color rgb="FFFCFCFF"/>
        <color rgb="FFF8696B"/>
      </colorScale>
    </cfRule>
    <cfRule type="colorScale" priority="2218">
      <colorScale>
        <cfvo type="min"/>
        <cfvo type="max"/>
        <color rgb="FFFCFCFF"/>
        <color rgb="FFF8696B"/>
      </colorScale>
    </cfRule>
  </conditionalFormatting>
  <conditionalFormatting sqref="N32:N35 O33:W36 P33:X33 O34:X34 P35:X35 O36:X36">
    <cfRule type="colorScale" priority="713">
      <colorScale>
        <cfvo type="min"/>
        <cfvo type="max"/>
        <color rgb="FFFCFCFF"/>
        <color rgb="FFF8696B"/>
      </colorScale>
    </cfRule>
    <cfRule type="colorScale" priority="1141">
      <colorScale>
        <cfvo type="min"/>
        <cfvo type="max"/>
        <color rgb="FFFCFCFF"/>
        <color rgb="FFF8696B"/>
      </colorScale>
    </cfRule>
    <cfRule type="colorScale" priority="1149">
      <colorScale>
        <cfvo type="min"/>
        <cfvo type="max"/>
        <color rgb="FFF8696B"/>
        <color rgb="FFFCFCFF"/>
      </colorScale>
    </cfRule>
    <cfRule type="colorScale" priority="1577">
      <colorScale>
        <cfvo type="min"/>
        <cfvo type="max"/>
        <color rgb="FFF8696B"/>
        <color rgb="FFFCFCFF"/>
      </colorScale>
    </cfRule>
    <cfRule type="colorScale" priority="1569">
      <colorScale>
        <cfvo type="min"/>
        <cfvo type="max"/>
        <color rgb="FFFCFCFF"/>
        <color rgb="FFF8696B"/>
      </colorScale>
    </cfRule>
    <cfRule type="colorScale" priority="721">
      <colorScale>
        <cfvo type="min"/>
        <cfvo type="max"/>
        <color rgb="FFF8696B"/>
        <color rgb="FFFCFCFF"/>
      </colorScale>
    </cfRule>
  </conditionalFormatting>
  <conditionalFormatting sqref="N32:N36">
    <cfRule type="colorScale" priority="2223">
      <colorScale>
        <cfvo type="min"/>
        <cfvo type="max"/>
        <color rgb="FFF8696B"/>
        <color rgb="FFFCFCFF"/>
      </colorScale>
    </cfRule>
    <cfRule type="colorScale" priority="2222">
      <colorScale>
        <cfvo type="min"/>
        <cfvo type="max"/>
        <color rgb="FFFCFCFF"/>
        <color rgb="FFF8696B"/>
      </colorScale>
    </cfRule>
  </conditionalFormatting>
  <conditionalFormatting sqref="N33:N36">
    <cfRule type="colorScale" priority="2215">
      <colorScale>
        <cfvo type="min"/>
        <cfvo type="max"/>
        <color rgb="FFF8696B"/>
        <color rgb="FFFCFCFF"/>
      </colorScale>
    </cfRule>
    <cfRule type="colorScale" priority="2214">
      <colorScale>
        <cfvo type="min"/>
        <cfvo type="max"/>
        <color rgb="FFFCFCFF"/>
        <color rgb="FFF8696B"/>
      </colorScale>
    </cfRule>
    <cfRule type="colorScale" priority="2213">
      <colorScale>
        <cfvo type="min"/>
        <cfvo type="max"/>
        <color rgb="FFFCFCFF"/>
        <color rgb="FFF8696B"/>
      </colorScale>
    </cfRule>
    <cfRule type="colorScale" priority="2212">
      <colorScale>
        <cfvo type="min"/>
        <cfvo type="max"/>
        <color rgb="FFFCFCFF"/>
        <color rgb="FFF8696B"/>
      </colorScale>
    </cfRule>
    <cfRule type="colorScale" priority="2211">
      <colorScale>
        <cfvo type="min"/>
        <cfvo type="max"/>
        <color rgb="FFFCFCFF"/>
        <color rgb="FFF8696B"/>
      </colorScale>
    </cfRule>
    <cfRule type="colorScale" priority="2210">
      <colorScale>
        <cfvo type="min"/>
        <cfvo type="max"/>
        <color rgb="FFFCFCFF"/>
        <color rgb="FFF8696B"/>
      </colorScale>
    </cfRule>
  </conditionalFormatting>
  <conditionalFormatting sqref="N36">
    <cfRule type="colorScale" priority="1403">
      <colorScale>
        <cfvo type="min"/>
        <cfvo type="max"/>
        <color rgb="FFFCFCFF"/>
        <color rgb="FFF8696B"/>
      </colorScale>
    </cfRule>
    <cfRule type="colorScale" priority="975">
      <colorScale>
        <cfvo type="min"/>
        <cfvo type="max"/>
        <color rgb="FFFCFCFF"/>
        <color rgb="FFF8696B"/>
      </colorScale>
    </cfRule>
    <cfRule type="colorScale" priority="545">
      <colorScale>
        <cfvo type="min"/>
        <cfvo type="max"/>
        <color rgb="FFFCFCFF"/>
        <color rgb="FFF8696B"/>
      </colorScale>
    </cfRule>
    <cfRule type="colorScale" priority="546">
      <colorScale>
        <cfvo type="min"/>
        <cfvo type="max"/>
        <color rgb="FFFCFCFF"/>
        <color rgb="FFF8696B"/>
      </colorScale>
    </cfRule>
    <cfRule type="colorScale" priority="553">
      <colorScale>
        <cfvo type="min"/>
        <cfvo type="max"/>
        <color rgb="FFFCFCFF"/>
        <color rgb="FFF8696B"/>
      </colorScale>
    </cfRule>
    <cfRule type="colorScale" priority="552">
      <colorScale>
        <cfvo type="min"/>
        <cfvo type="max"/>
        <color rgb="FFFCFCFF"/>
        <color rgb="FFF8696B"/>
      </colorScale>
    </cfRule>
    <cfRule type="colorScale" priority="551">
      <colorScale>
        <cfvo type="min"/>
        <cfvo type="max"/>
        <color rgb="FFF8696B"/>
        <color rgb="FFFCFCFF"/>
      </colorScale>
    </cfRule>
    <cfRule type="colorScale" priority="550">
      <colorScale>
        <cfvo type="min"/>
        <cfvo type="max"/>
        <color rgb="FFFCFCFF"/>
        <color rgb="FFF8696B"/>
      </colorScale>
    </cfRule>
    <cfRule type="colorScale" priority="2202">
      <colorScale>
        <cfvo type="min"/>
        <cfvo type="max"/>
        <color rgb="FFFCFCFF"/>
        <color rgb="FFF8696B"/>
      </colorScale>
    </cfRule>
    <cfRule type="colorScale" priority="2203">
      <colorScale>
        <cfvo type="min"/>
        <cfvo type="max"/>
        <color rgb="FFFCFCFF"/>
        <color rgb="FFF8696B"/>
      </colorScale>
    </cfRule>
    <cfRule type="colorScale" priority="2204">
      <colorScale>
        <cfvo type="min"/>
        <cfvo type="max"/>
        <color rgb="FFFCFCFF"/>
        <color rgb="FFF8696B"/>
      </colorScale>
    </cfRule>
    <cfRule type="colorScale" priority="2205">
      <colorScale>
        <cfvo type="min"/>
        <cfvo type="max"/>
        <color rgb="FFFCFCFF"/>
        <color rgb="FFF8696B"/>
      </colorScale>
    </cfRule>
    <cfRule type="colorScale" priority="2206">
      <colorScale>
        <cfvo type="min"/>
        <cfvo type="max"/>
        <color rgb="FFFCFCFF"/>
        <color rgb="FFF8696B"/>
      </colorScale>
    </cfRule>
    <cfRule type="colorScale" priority="2207">
      <colorScale>
        <cfvo type="min"/>
        <cfvo type="max"/>
        <color rgb="FFF8696B"/>
        <color rgb="FFFCFCFF"/>
      </colorScale>
    </cfRule>
    <cfRule type="colorScale" priority="549">
      <colorScale>
        <cfvo type="min"/>
        <cfvo type="max"/>
        <color rgb="FFFCFCFF"/>
        <color rgb="FFF8696B"/>
      </colorScale>
    </cfRule>
    <cfRule type="colorScale" priority="974">
      <colorScale>
        <cfvo type="min"/>
        <cfvo type="max"/>
        <color rgb="FFFCFCFF"/>
        <color rgb="FFF8696B"/>
      </colorScale>
    </cfRule>
    <cfRule type="colorScale" priority="1409">
      <colorScale>
        <cfvo type="min"/>
        <cfvo type="max"/>
        <color rgb="FFFCFCFF"/>
        <color rgb="FFF8696B"/>
      </colorScale>
    </cfRule>
    <cfRule type="colorScale" priority="1408">
      <colorScale>
        <cfvo type="min"/>
        <cfvo type="max"/>
        <color rgb="FFFCFCFF"/>
        <color rgb="FFF8696B"/>
      </colorScale>
    </cfRule>
    <cfRule type="colorScale" priority="1407">
      <colorScale>
        <cfvo type="min"/>
        <cfvo type="max"/>
        <color rgb="FFF8696B"/>
        <color rgb="FFFCFCFF"/>
      </colorScale>
    </cfRule>
    <cfRule type="colorScale" priority="1406">
      <colorScale>
        <cfvo type="min"/>
        <cfvo type="max"/>
        <color rgb="FFFCFCFF"/>
        <color rgb="FFF8696B"/>
      </colorScale>
    </cfRule>
    <cfRule type="colorScale" priority="1405">
      <colorScale>
        <cfvo type="min"/>
        <cfvo type="max"/>
        <color rgb="FFFCFCFF"/>
        <color rgb="FFF8696B"/>
      </colorScale>
    </cfRule>
    <cfRule type="colorScale" priority="1404">
      <colorScale>
        <cfvo type="min"/>
        <cfvo type="max"/>
        <color rgb="FFFCFCFF"/>
        <color rgb="FFF8696B"/>
      </colorScale>
    </cfRule>
    <cfRule type="colorScale" priority="972">
      <colorScale>
        <cfvo type="min"/>
        <cfvo type="max"/>
        <color rgb="FFFCFCFF"/>
        <color rgb="FFF8696B"/>
      </colorScale>
    </cfRule>
    <cfRule type="colorScale" priority="1402">
      <colorScale>
        <cfvo type="min"/>
        <cfvo type="max"/>
        <color rgb="FFFCFCFF"/>
        <color rgb="FFF8696B"/>
      </colorScale>
    </cfRule>
    <cfRule type="colorScale" priority="1401">
      <colorScale>
        <cfvo type="min"/>
        <cfvo type="max"/>
        <color rgb="FFFCFCFF"/>
        <color rgb="FFF8696B"/>
      </colorScale>
    </cfRule>
    <cfRule type="colorScale" priority="1400">
      <colorScale>
        <cfvo type="min"/>
        <cfvo type="max"/>
        <color rgb="FFFCFCFF"/>
        <color rgb="FFF8696B"/>
      </colorScale>
    </cfRule>
    <cfRule type="colorScale" priority="973">
      <colorScale>
        <cfvo type="min"/>
        <cfvo type="max"/>
        <color rgb="FFFCFCFF"/>
        <color rgb="FFF8696B"/>
      </colorScale>
    </cfRule>
    <cfRule type="colorScale" priority="547">
      <colorScale>
        <cfvo type="min"/>
        <cfvo type="max"/>
        <color rgb="FFFCFCFF"/>
        <color rgb="FFF8696B"/>
      </colorScale>
    </cfRule>
    <cfRule type="colorScale" priority="548">
      <colorScale>
        <cfvo type="min"/>
        <cfvo type="max"/>
        <color rgb="FFFCFCFF"/>
        <color rgb="FFF8696B"/>
      </colorScale>
    </cfRule>
    <cfRule type="colorScale" priority="554">
      <colorScale>
        <cfvo type="min"/>
        <cfvo type="max"/>
        <color rgb="FFF8696B"/>
        <color rgb="FFFCFCFF"/>
      </colorScale>
    </cfRule>
    <cfRule type="colorScale" priority="982">
      <colorScale>
        <cfvo type="min"/>
        <cfvo type="max"/>
        <color rgb="FFF8696B"/>
        <color rgb="FFFCFCFF"/>
      </colorScale>
    </cfRule>
    <cfRule type="colorScale" priority="981">
      <colorScale>
        <cfvo type="min"/>
        <cfvo type="max"/>
        <color rgb="FFFCFCFF"/>
        <color rgb="FFF8696B"/>
      </colorScale>
    </cfRule>
    <cfRule type="colorScale" priority="980">
      <colorScale>
        <cfvo type="min"/>
        <cfvo type="max"/>
        <color rgb="FFFCFCFF"/>
        <color rgb="FFF8696B"/>
      </colorScale>
    </cfRule>
    <cfRule type="colorScale" priority="979">
      <colorScale>
        <cfvo type="min"/>
        <cfvo type="max"/>
        <color rgb="FFF8696B"/>
        <color rgb="FFFCFCFF"/>
      </colorScale>
    </cfRule>
    <cfRule type="colorScale" priority="978">
      <colorScale>
        <cfvo type="min"/>
        <cfvo type="max"/>
        <color rgb="FFFCFCFF"/>
        <color rgb="FFF8696B"/>
      </colorScale>
    </cfRule>
    <cfRule type="colorScale" priority="977">
      <colorScale>
        <cfvo type="min"/>
        <cfvo type="max"/>
        <color rgb="FFFCFCFF"/>
        <color rgb="FFF8696B"/>
      </colorScale>
    </cfRule>
    <cfRule type="colorScale" priority="544">
      <colorScale>
        <cfvo type="min"/>
        <cfvo type="max"/>
        <color rgb="FFFCFCFF"/>
        <color rgb="FFF8696B"/>
      </colorScale>
    </cfRule>
    <cfRule type="colorScale" priority="1410">
      <colorScale>
        <cfvo type="min"/>
        <cfvo type="max"/>
        <color rgb="FFF8696B"/>
        <color rgb="FFFCFCFF"/>
      </colorScale>
    </cfRule>
    <cfRule type="colorScale" priority="976">
      <colorScale>
        <cfvo type="min"/>
        <cfvo type="max"/>
        <color rgb="FFFCFCFF"/>
        <color rgb="FFF8696B"/>
      </colorScale>
    </cfRule>
  </conditionalFormatting>
  <conditionalFormatting sqref="N36:N39">
    <cfRule type="colorScale" priority="2209">
      <colorScale>
        <cfvo type="min"/>
        <cfvo type="max"/>
        <color rgb="FFF8696B"/>
        <color rgb="FFFCFCFF"/>
      </colorScale>
    </cfRule>
    <cfRule type="colorScale" priority="2208">
      <colorScale>
        <cfvo type="min"/>
        <cfvo type="max"/>
        <color rgb="FFFCFCFF"/>
        <color rgb="FFF8696B"/>
      </colorScale>
    </cfRule>
  </conditionalFormatting>
  <conditionalFormatting sqref="N37:N39">
    <cfRule type="colorScale" priority="2201">
      <colorScale>
        <cfvo type="min"/>
        <cfvo type="max"/>
        <color rgb="FFF8696B"/>
        <color rgb="FFFCFCFF"/>
      </colorScale>
    </cfRule>
    <cfRule type="colorScale" priority="2200">
      <colorScale>
        <cfvo type="min"/>
        <cfvo type="max"/>
        <color rgb="FFFCFCFF"/>
        <color rgb="FFF8696B"/>
      </colorScale>
    </cfRule>
    <cfRule type="colorScale" priority="2199">
      <colorScale>
        <cfvo type="min"/>
        <cfvo type="max"/>
        <color rgb="FFFCFCFF"/>
        <color rgb="FFF8696B"/>
      </colorScale>
    </cfRule>
    <cfRule type="colorScale" priority="2198">
      <colorScale>
        <cfvo type="min"/>
        <cfvo type="max"/>
        <color rgb="FFFCFCFF"/>
        <color rgb="FFF8696B"/>
      </colorScale>
    </cfRule>
    <cfRule type="colorScale" priority="2197">
      <colorScale>
        <cfvo type="min"/>
        <cfvo type="max"/>
        <color rgb="FFFCFCFF"/>
        <color rgb="FFF8696B"/>
      </colorScale>
    </cfRule>
    <cfRule type="colorScale" priority="2196">
      <colorScale>
        <cfvo type="min"/>
        <cfvo type="max"/>
        <color rgb="FFFCFCFF"/>
        <color rgb="FFF8696B"/>
      </colorScale>
    </cfRule>
  </conditionalFormatting>
  <conditionalFormatting sqref="N38:N43 O38:X44">
    <cfRule type="colorScale" priority="341">
      <colorScale>
        <cfvo type="min"/>
        <cfvo type="max"/>
        <color rgb="FFFCFCFF"/>
        <color rgb="FFF8696B"/>
      </colorScale>
    </cfRule>
    <cfRule type="colorScale" priority="769">
      <colorScale>
        <cfvo type="min"/>
        <cfvo type="max"/>
        <color rgb="FFFCFCFF"/>
        <color rgb="FFF8696B"/>
      </colorScale>
    </cfRule>
    <cfRule type="colorScale" priority="1197">
      <colorScale>
        <cfvo type="min"/>
        <cfvo type="max"/>
        <color rgb="FFFCFCFF"/>
        <color rgb="FFF8696B"/>
      </colorScale>
    </cfRule>
  </conditionalFormatting>
  <conditionalFormatting sqref="N40:N42 N44">
    <cfRule type="colorScale" priority="2194">
      <colorScale>
        <cfvo type="min"/>
        <cfvo type="max"/>
        <color rgb="FFFCFCFF"/>
        <color rgb="FFF8696B"/>
      </colorScale>
    </cfRule>
    <cfRule type="colorScale" priority="2195">
      <colorScale>
        <cfvo type="min"/>
        <cfvo type="max"/>
        <color rgb="FFF8696B"/>
        <color rgb="FFFCFCFF"/>
      </colorScale>
    </cfRule>
  </conditionalFormatting>
  <conditionalFormatting sqref="N40:N42">
    <cfRule type="colorScale" priority="2190">
      <colorScale>
        <cfvo type="min"/>
        <cfvo type="max"/>
        <color rgb="FFFCFCFF"/>
        <color rgb="FFF8696B"/>
      </colorScale>
    </cfRule>
    <cfRule type="colorScale" priority="2189">
      <colorScale>
        <cfvo type="min"/>
        <cfvo type="max"/>
        <color rgb="FFFCFCFF"/>
        <color rgb="FFF8696B"/>
      </colorScale>
    </cfRule>
    <cfRule type="colorScale" priority="2192">
      <colorScale>
        <cfvo type="min"/>
        <cfvo type="max"/>
        <color rgb="FFFCFCFF"/>
        <color rgb="FFF8696B"/>
      </colorScale>
    </cfRule>
    <cfRule type="colorScale" priority="2191">
      <colorScale>
        <cfvo type="min"/>
        <cfvo type="max"/>
        <color rgb="FFFCFCFF"/>
        <color rgb="FFF8696B"/>
      </colorScale>
    </cfRule>
    <cfRule type="colorScale" priority="2193">
      <colorScale>
        <cfvo type="min"/>
        <cfvo type="max"/>
        <color rgb="FFF8696B"/>
        <color rgb="FFFCFCFF"/>
      </colorScale>
    </cfRule>
    <cfRule type="colorScale" priority="2188">
      <colorScale>
        <cfvo type="min"/>
        <cfvo type="max"/>
        <color rgb="FFFCFCFF"/>
        <color rgb="FFF8696B"/>
      </colorScale>
    </cfRule>
  </conditionalFormatting>
  <conditionalFormatting sqref="N40:N43 O41:W44 P43:X43 O44:X44">
    <cfRule type="colorScale" priority="499">
      <colorScale>
        <cfvo type="min"/>
        <cfvo type="max"/>
        <color rgb="FFFCFCFF"/>
        <color rgb="FFF8696B"/>
      </colorScale>
    </cfRule>
    <cfRule type="colorScale" priority="1355">
      <colorScale>
        <cfvo type="min"/>
        <cfvo type="max"/>
        <color rgb="FFFCFCFF"/>
        <color rgb="FFF8696B"/>
      </colorScale>
    </cfRule>
    <cfRule type="colorScale" priority="1363">
      <colorScale>
        <cfvo type="min"/>
        <cfvo type="max"/>
        <color rgb="FFF8696B"/>
        <color rgb="FFFCFCFF"/>
      </colorScale>
    </cfRule>
    <cfRule type="colorScale" priority="507">
      <colorScale>
        <cfvo type="min"/>
        <cfvo type="max"/>
        <color rgb="FFF8696B"/>
        <color rgb="FFFCFCFF"/>
      </colorScale>
    </cfRule>
    <cfRule type="colorScale" priority="935">
      <colorScale>
        <cfvo type="min"/>
        <cfvo type="max"/>
        <color rgb="FFF8696B"/>
        <color rgb="FFFCFCFF"/>
      </colorScale>
    </cfRule>
    <cfRule type="colorScale" priority="927">
      <colorScale>
        <cfvo type="min"/>
        <cfvo type="max"/>
        <color rgb="FFFCFCFF"/>
        <color rgb="FFF8696B"/>
      </colorScale>
    </cfRule>
  </conditionalFormatting>
  <conditionalFormatting sqref="N41:N42 N44">
    <cfRule type="colorScale" priority="2185">
      <colorScale>
        <cfvo type="min"/>
        <cfvo type="max"/>
        <color rgb="FFFCFCFF"/>
        <color rgb="FFF8696B"/>
      </colorScale>
    </cfRule>
    <cfRule type="colorScale" priority="2184">
      <colorScale>
        <cfvo type="min"/>
        <cfvo type="max"/>
        <color rgb="FFFCFCFF"/>
        <color rgb="FFF8696B"/>
      </colorScale>
    </cfRule>
    <cfRule type="colorScale" priority="2186">
      <colorScale>
        <cfvo type="min"/>
        <cfvo type="max"/>
        <color rgb="FFFCFCFF"/>
        <color rgb="FFF8696B"/>
      </colorScale>
    </cfRule>
    <cfRule type="colorScale" priority="2183">
      <colorScale>
        <cfvo type="min"/>
        <cfvo type="max"/>
        <color rgb="FFFCFCFF"/>
        <color rgb="FFF8696B"/>
      </colorScale>
    </cfRule>
    <cfRule type="colorScale" priority="2182">
      <colorScale>
        <cfvo type="min"/>
        <cfvo type="max"/>
        <color rgb="FFFCFCFF"/>
        <color rgb="FFF8696B"/>
      </colorScale>
    </cfRule>
    <cfRule type="colorScale" priority="2187">
      <colorScale>
        <cfvo type="min"/>
        <cfvo type="max"/>
        <color rgb="FFF8696B"/>
        <color rgb="FFFCFCFF"/>
      </colorScale>
    </cfRule>
  </conditionalFormatting>
  <conditionalFormatting sqref="N44">
    <cfRule type="colorScale" priority="330">
      <colorScale>
        <cfvo type="min"/>
        <cfvo type="max"/>
        <color rgb="FFFCFCFF"/>
        <color rgb="FFF8696B"/>
      </colorScale>
    </cfRule>
    <cfRule type="colorScale" priority="340">
      <colorScale>
        <cfvo type="min"/>
        <cfvo type="max"/>
        <color rgb="FFF8696B"/>
        <color rgb="FFFCFCFF"/>
      </colorScale>
    </cfRule>
    <cfRule type="colorScale" priority="339">
      <colorScale>
        <cfvo type="min"/>
        <cfvo type="max"/>
        <color rgb="FFFCFCFF"/>
        <color rgb="FFF8696B"/>
      </colorScale>
    </cfRule>
    <cfRule type="colorScale" priority="338">
      <colorScale>
        <cfvo type="min"/>
        <cfvo type="max"/>
        <color rgb="FFFCFCFF"/>
        <color rgb="FFF8696B"/>
      </colorScale>
    </cfRule>
    <cfRule type="colorScale" priority="337">
      <colorScale>
        <cfvo type="min"/>
        <cfvo type="max"/>
        <color rgb="FFF8696B"/>
        <color rgb="FFFCFCFF"/>
      </colorScale>
    </cfRule>
    <cfRule type="colorScale" priority="336">
      <colorScale>
        <cfvo type="min"/>
        <cfvo type="max"/>
        <color rgb="FFFCFCFF"/>
        <color rgb="FFF8696B"/>
      </colorScale>
    </cfRule>
    <cfRule type="colorScale" priority="1196">
      <colorScale>
        <cfvo type="min"/>
        <cfvo type="max"/>
        <color rgb="FFF8696B"/>
        <color rgb="FFFCFCFF"/>
      </colorScale>
    </cfRule>
    <cfRule type="colorScale" priority="1195">
      <colorScale>
        <cfvo type="min"/>
        <cfvo type="max"/>
        <color rgb="FFFCFCFF"/>
        <color rgb="FFF8696B"/>
      </colorScale>
    </cfRule>
    <cfRule type="colorScale" priority="331">
      <colorScale>
        <cfvo type="min"/>
        <cfvo type="max"/>
        <color rgb="FFFCFCFF"/>
        <color rgb="FFF8696B"/>
      </colorScale>
    </cfRule>
    <cfRule type="colorScale" priority="1193">
      <colorScale>
        <cfvo type="min"/>
        <cfvo type="max"/>
        <color rgb="FFF8696B"/>
        <color rgb="FFFCFCFF"/>
      </colorScale>
    </cfRule>
    <cfRule type="colorScale" priority="1192">
      <colorScale>
        <cfvo type="min"/>
        <cfvo type="max"/>
        <color rgb="FFFCFCFF"/>
        <color rgb="FFF8696B"/>
      </colorScale>
    </cfRule>
    <cfRule type="colorScale" priority="1191">
      <colorScale>
        <cfvo type="min"/>
        <cfvo type="max"/>
        <color rgb="FFFCFCFF"/>
        <color rgb="FFF8696B"/>
      </colorScale>
    </cfRule>
    <cfRule type="colorScale" priority="1190">
      <colorScale>
        <cfvo type="min"/>
        <cfvo type="max"/>
        <color rgb="FFFCFCFF"/>
        <color rgb="FFF8696B"/>
      </colorScale>
    </cfRule>
    <cfRule type="colorScale" priority="1189">
      <colorScale>
        <cfvo type="min"/>
        <cfvo type="max"/>
        <color rgb="FFFCFCFF"/>
        <color rgb="FFF8696B"/>
      </colorScale>
    </cfRule>
    <cfRule type="colorScale" priority="1188">
      <colorScale>
        <cfvo type="min"/>
        <cfvo type="max"/>
        <color rgb="FFFCFCFF"/>
        <color rgb="FFF8696B"/>
      </colorScale>
    </cfRule>
    <cfRule type="colorScale" priority="1187">
      <colorScale>
        <cfvo type="min"/>
        <cfvo type="max"/>
        <color rgb="FFFCFCFF"/>
        <color rgb="FFF8696B"/>
      </colorScale>
    </cfRule>
    <cfRule type="colorScale" priority="1186">
      <colorScale>
        <cfvo type="min"/>
        <cfvo type="max"/>
        <color rgb="FFFCFCFF"/>
        <color rgb="FFF8696B"/>
      </colorScale>
    </cfRule>
    <cfRule type="colorScale" priority="335">
      <colorScale>
        <cfvo type="min"/>
        <cfvo type="max"/>
        <color rgb="FFFCFCFF"/>
        <color rgb="FFF8696B"/>
      </colorScale>
    </cfRule>
    <cfRule type="colorScale" priority="768">
      <colorScale>
        <cfvo type="min"/>
        <cfvo type="max"/>
        <color rgb="FFF8696B"/>
        <color rgb="FFFCFCFF"/>
      </colorScale>
    </cfRule>
    <cfRule type="colorScale" priority="767">
      <colorScale>
        <cfvo type="min"/>
        <cfvo type="max"/>
        <color rgb="FFFCFCFF"/>
        <color rgb="FFF8696B"/>
      </colorScale>
    </cfRule>
    <cfRule type="colorScale" priority="766">
      <colorScale>
        <cfvo type="min"/>
        <cfvo type="max"/>
        <color rgb="FFFCFCFF"/>
        <color rgb="FFF8696B"/>
      </colorScale>
    </cfRule>
    <cfRule type="colorScale" priority="765">
      <colorScale>
        <cfvo type="min"/>
        <cfvo type="max"/>
        <color rgb="FFF8696B"/>
        <color rgb="FFFCFCFF"/>
      </colorScale>
    </cfRule>
    <cfRule type="colorScale" priority="764">
      <colorScale>
        <cfvo type="min"/>
        <cfvo type="max"/>
        <color rgb="FFFCFCFF"/>
        <color rgb="FFF8696B"/>
      </colorScale>
    </cfRule>
    <cfRule type="colorScale" priority="763">
      <colorScale>
        <cfvo type="min"/>
        <cfvo type="max"/>
        <color rgb="FFFCFCFF"/>
        <color rgb="FFF8696B"/>
      </colorScale>
    </cfRule>
    <cfRule type="colorScale" priority="762">
      <colorScale>
        <cfvo type="min"/>
        <cfvo type="max"/>
        <color rgb="FFFCFCFF"/>
        <color rgb="FFF8696B"/>
      </colorScale>
    </cfRule>
    <cfRule type="colorScale" priority="761">
      <colorScale>
        <cfvo type="min"/>
        <cfvo type="max"/>
        <color rgb="FFFCFCFF"/>
        <color rgb="FFF8696B"/>
      </colorScale>
    </cfRule>
    <cfRule type="colorScale" priority="760">
      <colorScale>
        <cfvo type="min"/>
        <cfvo type="max"/>
        <color rgb="FFFCFCFF"/>
        <color rgb="FFF8696B"/>
      </colorScale>
    </cfRule>
    <cfRule type="colorScale" priority="759">
      <colorScale>
        <cfvo type="min"/>
        <cfvo type="max"/>
        <color rgb="FFFCFCFF"/>
        <color rgb="FFF8696B"/>
      </colorScale>
    </cfRule>
    <cfRule type="colorScale" priority="758">
      <colorScale>
        <cfvo type="min"/>
        <cfvo type="max"/>
        <color rgb="FFFCFCFF"/>
        <color rgb="FFF8696B"/>
      </colorScale>
    </cfRule>
    <cfRule type="colorScale" priority="334">
      <colorScale>
        <cfvo type="min"/>
        <cfvo type="max"/>
        <color rgb="FFFCFCFF"/>
        <color rgb="FFF8696B"/>
      </colorScale>
    </cfRule>
    <cfRule type="colorScale" priority="333">
      <colorScale>
        <cfvo type="min"/>
        <cfvo type="max"/>
        <color rgb="FFFCFCFF"/>
        <color rgb="FFF8696B"/>
      </colorScale>
    </cfRule>
    <cfRule type="colorScale" priority="332">
      <colorScale>
        <cfvo type="min"/>
        <cfvo type="max"/>
        <color rgb="FFFCFCFF"/>
        <color rgb="FFF8696B"/>
      </colorScale>
    </cfRule>
    <cfRule type="colorScale" priority="1194">
      <colorScale>
        <cfvo type="min"/>
        <cfvo type="max"/>
        <color rgb="FFFCFCFF"/>
        <color rgb="FFF8696B"/>
      </colorScale>
    </cfRule>
  </conditionalFormatting>
  <conditionalFormatting sqref="N30:S32 U30:U32 W30:W32 P31:X31 O32:X32">
    <cfRule type="colorScale" priority="1154">
      <colorScale>
        <cfvo type="min"/>
        <cfvo type="max"/>
        <color rgb="FFFCFCFF"/>
        <color rgb="FFF8696B"/>
      </colorScale>
    </cfRule>
    <cfRule type="colorScale" priority="1152">
      <colorScale>
        <cfvo type="min"/>
        <cfvo type="max"/>
        <color rgb="FFFCFCFF"/>
        <color rgb="FFF8696B"/>
      </colorScale>
    </cfRule>
    <cfRule type="colorScale" priority="1153">
      <colorScale>
        <cfvo type="min"/>
        <cfvo type="max"/>
        <color rgb="FFFCFCFF"/>
        <color rgb="FFF8696B"/>
      </colorScale>
    </cfRule>
    <cfRule type="colorScale" priority="724">
      <colorScale>
        <cfvo type="min"/>
        <cfvo type="max"/>
        <color rgb="FFFCFCFF"/>
        <color rgb="FFF8696B"/>
      </colorScale>
    </cfRule>
    <cfRule type="colorScale" priority="725">
      <colorScale>
        <cfvo type="min"/>
        <cfvo type="max"/>
        <color rgb="FFFCFCFF"/>
        <color rgb="FFF8696B"/>
      </colorScale>
    </cfRule>
    <cfRule type="colorScale" priority="1582">
      <colorScale>
        <cfvo type="min"/>
        <cfvo type="max"/>
        <color rgb="FFFCFCFF"/>
        <color rgb="FFF8696B"/>
      </colorScale>
    </cfRule>
    <cfRule type="colorScale" priority="1581">
      <colorScale>
        <cfvo type="min"/>
        <cfvo type="max"/>
        <color rgb="FFFCFCFF"/>
        <color rgb="FFF8696B"/>
      </colorScale>
    </cfRule>
    <cfRule type="colorScale" priority="726">
      <colorScale>
        <cfvo type="min"/>
        <cfvo type="max"/>
        <color rgb="FFFCFCFF"/>
        <color rgb="FFF8696B"/>
      </colorScale>
    </cfRule>
    <cfRule type="colorScale" priority="1580">
      <colorScale>
        <cfvo type="min"/>
        <cfvo type="max"/>
        <color rgb="FFFCFCFF"/>
        <color rgb="FFF8696B"/>
      </colorScale>
    </cfRule>
  </conditionalFormatting>
  <conditionalFormatting sqref="N38:S40 U38:U40 W38:W40 O40:S42 P39:X42">
    <cfRule type="colorScale" priority="1367">
      <colorScale>
        <cfvo type="min"/>
        <cfvo type="max"/>
        <color rgb="FFFCFCFF"/>
        <color rgb="FFF8696B"/>
      </colorScale>
    </cfRule>
    <cfRule type="colorScale" priority="1366">
      <colorScale>
        <cfvo type="min"/>
        <cfvo type="max"/>
        <color rgb="FFFCFCFF"/>
        <color rgb="FFF8696B"/>
      </colorScale>
    </cfRule>
    <cfRule type="colorScale" priority="1368">
      <colorScale>
        <cfvo type="min"/>
        <cfvo type="max"/>
        <color rgb="FFFCFCFF"/>
        <color rgb="FFF8696B"/>
      </colorScale>
    </cfRule>
    <cfRule type="colorScale" priority="940">
      <colorScale>
        <cfvo type="min"/>
        <cfvo type="max"/>
        <color rgb="FFFCFCFF"/>
        <color rgb="FFF8696B"/>
      </colorScale>
    </cfRule>
    <cfRule type="colorScale" priority="939">
      <colorScale>
        <cfvo type="min"/>
        <cfvo type="max"/>
        <color rgb="FFFCFCFF"/>
        <color rgb="FFF8696B"/>
      </colorScale>
    </cfRule>
    <cfRule type="colorScale" priority="938">
      <colorScale>
        <cfvo type="min"/>
        <cfvo type="max"/>
        <color rgb="FFFCFCFF"/>
        <color rgb="FFF8696B"/>
      </colorScale>
    </cfRule>
    <cfRule type="colorScale" priority="510">
      <colorScale>
        <cfvo type="min"/>
        <cfvo type="max"/>
        <color rgb="FFFCFCFF"/>
        <color rgb="FFF8696B"/>
      </colorScale>
    </cfRule>
    <cfRule type="colorScale" priority="511">
      <colorScale>
        <cfvo type="min"/>
        <cfvo type="max"/>
        <color rgb="FFFCFCFF"/>
        <color rgb="FFF8696B"/>
      </colorScale>
    </cfRule>
    <cfRule type="colorScale" priority="512">
      <colorScale>
        <cfvo type="min"/>
        <cfvo type="max"/>
        <color rgb="FFFCFCFF"/>
        <color rgb="FFF8696B"/>
      </colorScale>
    </cfRule>
  </conditionalFormatting>
  <conditionalFormatting sqref="N30:W32 P31:X31 O32:X32">
    <cfRule type="colorScale" priority="1593">
      <colorScale>
        <cfvo type="min"/>
        <cfvo type="max"/>
        <color rgb="FFFCFCFF"/>
        <color rgb="FFF8696B"/>
      </colorScale>
    </cfRule>
    <cfRule type="colorScale" priority="722">
      <colorScale>
        <cfvo type="min"/>
        <cfvo type="max"/>
        <color rgb="FFFCFCFF"/>
        <color rgb="FFF8696B"/>
      </colorScale>
    </cfRule>
    <cfRule type="colorScale" priority="727">
      <colorScale>
        <cfvo type="min"/>
        <cfvo type="max"/>
        <color rgb="FFF8696B"/>
        <color rgb="FFFCFCFF"/>
      </colorScale>
    </cfRule>
    <cfRule type="colorScale" priority="1583">
      <colorScale>
        <cfvo type="min"/>
        <cfvo type="max"/>
        <color rgb="FFF8696B"/>
        <color rgb="FFFCFCFF"/>
      </colorScale>
    </cfRule>
    <cfRule type="colorScale" priority="1579">
      <colorScale>
        <cfvo type="min"/>
        <cfvo type="max"/>
        <color rgb="FFFCFCFF"/>
        <color rgb="FFF8696B"/>
      </colorScale>
    </cfRule>
    <cfRule type="colorScale" priority="1151">
      <colorScale>
        <cfvo type="min"/>
        <cfvo type="max"/>
        <color rgb="FFFCFCFF"/>
        <color rgb="FFF8696B"/>
      </colorScale>
    </cfRule>
    <cfRule type="colorScale" priority="1150">
      <colorScale>
        <cfvo type="min"/>
        <cfvo type="max"/>
        <color rgb="FFFCFCFF"/>
        <color rgb="FFF8696B"/>
      </colorScale>
    </cfRule>
    <cfRule type="colorScale" priority="1155">
      <colorScale>
        <cfvo type="min"/>
        <cfvo type="max"/>
        <color rgb="FFF8696B"/>
        <color rgb="FFFCFCFF"/>
      </colorScale>
    </cfRule>
    <cfRule type="colorScale" priority="1165">
      <colorScale>
        <cfvo type="min"/>
        <cfvo type="max"/>
        <color rgb="FFFCFCFF"/>
        <color rgb="FFF8696B"/>
      </colorScale>
    </cfRule>
    <cfRule type="colorScale" priority="1173">
      <colorScale>
        <cfvo type="min"/>
        <cfvo type="max"/>
        <color rgb="FFF8696B"/>
        <color rgb="FFFCFCFF"/>
      </colorScale>
    </cfRule>
    <cfRule type="colorScale" priority="1578">
      <colorScale>
        <cfvo type="min"/>
        <cfvo type="max"/>
        <color rgb="FFFCFCFF"/>
        <color rgb="FFF8696B"/>
      </colorScale>
    </cfRule>
    <cfRule type="colorScale" priority="1601">
      <colorScale>
        <cfvo type="min"/>
        <cfvo type="max"/>
        <color rgb="FFF8696B"/>
        <color rgb="FFFCFCFF"/>
      </colorScale>
    </cfRule>
    <cfRule type="colorScale" priority="723">
      <colorScale>
        <cfvo type="min"/>
        <cfvo type="max"/>
        <color rgb="FFFCFCFF"/>
        <color rgb="FFF8696B"/>
      </colorScale>
    </cfRule>
    <cfRule type="colorScale" priority="745">
      <colorScale>
        <cfvo type="min"/>
        <cfvo type="max"/>
        <color rgb="FFF8696B"/>
        <color rgb="FFFCFCFF"/>
      </colorScale>
    </cfRule>
    <cfRule type="colorScale" priority="737">
      <colorScale>
        <cfvo type="min"/>
        <cfvo type="max"/>
        <color rgb="FFFCFCFF"/>
        <color rgb="FFF8696B"/>
      </colorScale>
    </cfRule>
  </conditionalFormatting>
  <conditionalFormatting sqref="N38:W40 O40:W42 P39:X42">
    <cfRule type="colorScale" priority="1387">
      <colorScale>
        <cfvo type="min"/>
        <cfvo type="max"/>
        <color rgb="FFF8696B"/>
        <color rgb="FFFCFCFF"/>
      </colorScale>
    </cfRule>
    <cfRule type="colorScale" priority="531">
      <colorScale>
        <cfvo type="min"/>
        <cfvo type="max"/>
        <color rgb="FFF8696B"/>
        <color rgb="FFFCFCFF"/>
      </colorScale>
    </cfRule>
    <cfRule type="colorScale" priority="1364">
      <colorScale>
        <cfvo type="min"/>
        <cfvo type="max"/>
        <color rgb="FFFCFCFF"/>
        <color rgb="FFF8696B"/>
      </colorScale>
    </cfRule>
    <cfRule type="colorScale" priority="959">
      <colorScale>
        <cfvo type="min"/>
        <cfvo type="max"/>
        <color rgb="FFF8696B"/>
        <color rgb="FFFCFCFF"/>
      </colorScale>
    </cfRule>
    <cfRule type="colorScale" priority="523">
      <colorScale>
        <cfvo type="min"/>
        <cfvo type="max"/>
        <color rgb="FFFCFCFF"/>
        <color rgb="FFF8696B"/>
      </colorScale>
    </cfRule>
    <cfRule type="colorScale" priority="1369">
      <colorScale>
        <cfvo type="min"/>
        <cfvo type="max"/>
        <color rgb="FFF8696B"/>
        <color rgb="FFFCFCFF"/>
      </colorScale>
    </cfRule>
    <cfRule type="colorScale" priority="1365">
      <colorScale>
        <cfvo type="min"/>
        <cfvo type="max"/>
        <color rgb="FFFCFCFF"/>
        <color rgb="FFF8696B"/>
      </colorScale>
    </cfRule>
    <cfRule type="colorScale" priority="513">
      <colorScale>
        <cfvo type="min"/>
        <cfvo type="max"/>
        <color rgb="FFF8696B"/>
        <color rgb="FFFCFCFF"/>
      </colorScale>
    </cfRule>
    <cfRule type="colorScale" priority="508">
      <colorScale>
        <cfvo type="min"/>
        <cfvo type="max"/>
        <color rgb="FFFCFCFF"/>
        <color rgb="FFF8696B"/>
      </colorScale>
    </cfRule>
    <cfRule type="colorScale" priority="941">
      <colorScale>
        <cfvo type="min"/>
        <cfvo type="max"/>
        <color rgb="FFF8696B"/>
        <color rgb="FFFCFCFF"/>
      </colorScale>
    </cfRule>
    <cfRule type="colorScale" priority="1379">
      <colorScale>
        <cfvo type="min"/>
        <cfvo type="max"/>
        <color rgb="FFFCFCFF"/>
        <color rgb="FFF8696B"/>
      </colorScale>
    </cfRule>
    <cfRule type="colorScale" priority="509">
      <colorScale>
        <cfvo type="min"/>
        <cfvo type="max"/>
        <color rgb="FFFCFCFF"/>
        <color rgb="FFF8696B"/>
      </colorScale>
    </cfRule>
    <cfRule type="colorScale" priority="936">
      <colorScale>
        <cfvo type="min"/>
        <cfvo type="max"/>
        <color rgb="FFFCFCFF"/>
        <color rgb="FFF8696B"/>
      </colorScale>
    </cfRule>
    <cfRule type="colorScale" priority="937">
      <colorScale>
        <cfvo type="min"/>
        <cfvo type="max"/>
        <color rgb="FFFCFCFF"/>
        <color rgb="FFF8696B"/>
      </colorScale>
    </cfRule>
    <cfRule type="colorScale" priority="951">
      <colorScale>
        <cfvo type="min"/>
        <cfvo type="max"/>
        <color rgb="FFFCFCFF"/>
        <color rgb="FFF8696B"/>
      </colorScale>
    </cfRule>
  </conditionalFormatting>
  <conditionalFormatting sqref="O30:S30 U30 W30">
    <cfRule type="colorScale" priority="1891">
      <colorScale>
        <cfvo type="min"/>
        <cfvo type="max"/>
        <color rgb="FFFCFCFF"/>
        <color rgb="FFF8696B"/>
      </colorScale>
    </cfRule>
    <cfRule type="colorScale" priority="1892">
      <colorScale>
        <cfvo type="min"/>
        <cfvo type="max"/>
        <color rgb="FFFCFCFF"/>
        <color rgb="FFF8696B"/>
      </colorScale>
    </cfRule>
    <cfRule type="colorScale" priority="1893">
      <colorScale>
        <cfvo type="min"/>
        <cfvo type="max"/>
        <color rgb="FFFCFCFF"/>
        <color rgb="FFF8696B"/>
      </colorScale>
    </cfRule>
  </conditionalFormatting>
  <conditionalFormatting sqref="O34:S36 U34:U36 W34:W36 N33:N35 P35:X35 O36:X36">
    <cfRule type="colorScale" priority="694">
      <colorScale>
        <cfvo type="min"/>
        <cfvo type="max"/>
        <color rgb="FFFCFCFF"/>
        <color rgb="FFF8696B"/>
      </colorScale>
    </cfRule>
    <cfRule type="colorScale" priority="1551">
      <colorScale>
        <cfvo type="min"/>
        <cfvo type="max"/>
        <color rgb="FFFCFCFF"/>
        <color rgb="FFF8696B"/>
      </colorScale>
    </cfRule>
    <cfRule type="colorScale" priority="1550">
      <colorScale>
        <cfvo type="min"/>
        <cfvo type="max"/>
        <color rgb="FFFCFCFF"/>
        <color rgb="FFF8696B"/>
      </colorScale>
    </cfRule>
    <cfRule type="colorScale" priority="1124">
      <colorScale>
        <cfvo type="min"/>
        <cfvo type="max"/>
        <color rgb="FFFCFCFF"/>
        <color rgb="FFF8696B"/>
      </colorScale>
    </cfRule>
    <cfRule type="colorScale" priority="1123">
      <colorScale>
        <cfvo type="min"/>
        <cfvo type="max"/>
        <color rgb="FFFCFCFF"/>
        <color rgb="FFF8696B"/>
      </colorScale>
    </cfRule>
    <cfRule type="colorScale" priority="1122">
      <colorScale>
        <cfvo type="min"/>
        <cfvo type="max"/>
        <color rgb="FFFCFCFF"/>
        <color rgb="FFF8696B"/>
      </colorScale>
    </cfRule>
    <cfRule type="colorScale" priority="1552">
      <colorScale>
        <cfvo type="min"/>
        <cfvo type="max"/>
        <color rgb="FFFCFCFF"/>
        <color rgb="FFF8696B"/>
      </colorScale>
    </cfRule>
    <cfRule type="colorScale" priority="696">
      <colorScale>
        <cfvo type="min"/>
        <cfvo type="max"/>
        <color rgb="FFFCFCFF"/>
        <color rgb="FFF8696B"/>
      </colorScale>
    </cfRule>
    <cfRule type="colorScale" priority="695">
      <colorScale>
        <cfvo type="min"/>
        <cfvo type="max"/>
        <color rgb="FFFCFCFF"/>
        <color rgb="FFF8696B"/>
      </colorScale>
    </cfRule>
  </conditionalFormatting>
  <conditionalFormatting sqref="O42:S44 U42:U44 W42:W44 N41:N43 P43:X43 O44:X44">
    <cfRule type="colorScale" priority="910">
      <colorScale>
        <cfvo type="min"/>
        <cfvo type="max"/>
        <color rgb="FFFCFCFF"/>
        <color rgb="FFF8696B"/>
      </colorScale>
    </cfRule>
    <cfRule type="colorScale" priority="1336">
      <colorScale>
        <cfvo type="min"/>
        <cfvo type="max"/>
        <color rgb="FFFCFCFF"/>
        <color rgb="FFF8696B"/>
      </colorScale>
    </cfRule>
    <cfRule type="colorScale" priority="1338">
      <colorScale>
        <cfvo type="min"/>
        <cfvo type="max"/>
        <color rgb="FFFCFCFF"/>
        <color rgb="FFF8696B"/>
      </colorScale>
    </cfRule>
    <cfRule type="colorScale" priority="480">
      <colorScale>
        <cfvo type="min"/>
        <cfvo type="max"/>
        <color rgb="FFFCFCFF"/>
        <color rgb="FFF8696B"/>
      </colorScale>
    </cfRule>
    <cfRule type="colorScale" priority="1337">
      <colorScale>
        <cfvo type="min"/>
        <cfvo type="max"/>
        <color rgb="FFFCFCFF"/>
        <color rgb="FFF8696B"/>
      </colorScale>
    </cfRule>
    <cfRule type="colorScale" priority="482">
      <colorScale>
        <cfvo type="min"/>
        <cfvo type="max"/>
        <color rgb="FFFCFCFF"/>
        <color rgb="FFF8696B"/>
      </colorScale>
    </cfRule>
    <cfRule type="colorScale" priority="908">
      <colorScale>
        <cfvo type="min"/>
        <cfvo type="max"/>
        <color rgb="FFFCFCFF"/>
        <color rgb="FFF8696B"/>
      </colorScale>
    </cfRule>
    <cfRule type="colorScale" priority="909">
      <colorScale>
        <cfvo type="min"/>
        <cfvo type="max"/>
        <color rgb="FFFCFCFF"/>
        <color rgb="FFF8696B"/>
      </colorScale>
    </cfRule>
    <cfRule type="colorScale" priority="481">
      <colorScale>
        <cfvo type="min"/>
        <cfvo type="max"/>
        <color rgb="FFFCFCFF"/>
        <color rgb="FFF8696B"/>
      </colorScale>
    </cfRule>
  </conditionalFormatting>
  <conditionalFormatting sqref="O30:W30">
    <cfRule type="colorScale" priority="1894">
      <colorScale>
        <cfvo type="min"/>
        <cfvo type="max"/>
        <color rgb="FFF8696B"/>
        <color rgb="FFFCFCFF"/>
      </colorScale>
    </cfRule>
    <cfRule type="colorScale" priority="1904">
      <colorScale>
        <cfvo type="min"/>
        <cfvo type="max"/>
        <color rgb="FFFCFCFF"/>
        <color rgb="FFF8696B"/>
      </colorScale>
    </cfRule>
    <cfRule type="colorScale" priority="1890">
      <colorScale>
        <cfvo type="min"/>
        <cfvo type="max"/>
        <color rgb="FFFCFCFF"/>
        <color rgb="FFF8696B"/>
      </colorScale>
    </cfRule>
    <cfRule type="colorScale" priority="1889">
      <colorScale>
        <cfvo type="min"/>
        <cfvo type="max"/>
        <color rgb="FFFCFCFF"/>
        <color rgb="FFF8696B"/>
      </colorScale>
    </cfRule>
    <cfRule type="colorScale" priority="1912">
      <colorScale>
        <cfvo type="min"/>
        <cfvo type="max"/>
        <color rgb="FFF8696B"/>
        <color rgb="FFFCFCFF"/>
      </colorScale>
    </cfRule>
  </conditionalFormatting>
  <conditionalFormatting sqref="O34:W34">
    <cfRule type="colorScale" priority="965">
      <colorScale>
        <cfvo type="min"/>
        <cfvo type="max"/>
        <color rgb="FFF8696B"/>
        <color rgb="FFFCFCFF"/>
      </colorScale>
    </cfRule>
    <cfRule type="colorScale" priority="964">
      <colorScale>
        <cfvo type="min"/>
        <cfvo type="max"/>
        <color rgb="FFFCFCFF"/>
        <color rgb="FFF8696B"/>
      </colorScale>
    </cfRule>
    <cfRule type="colorScale" priority="1399">
      <colorScale>
        <cfvo type="min"/>
        <cfvo type="max"/>
        <color rgb="FFF8696B"/>
        <color rgb="FFFCFCFF"/>
      </colorScale>
    </cfRule>
    <cfRule type="colorScale" priority="537">
      <colorScale>
        <cfvo type="min"/>
        <cfvo type="max"/>
        <color rgb="FFF8696B"/>
        <color rgb="FFFCFCFF"/>
      </colorScale>
    </cfRule>
    <cfRule type="colorScale" priority="969">
      <colorScale>
        <cfvo type="min"/>
        <cfvo type="max"/>
        <color rgb="FFFCFCFF"/>
        <color rgb="FFF8696B"/>
      </colorScale>
    </cfRule>
    <cfRule type="colorScale" priority="970">
      <colorScale>
        <cfvo type="min"/>
        <cfvo type="max"/>
        <color rgb="FFFCFCFF"/>
        <color rgb="FFF8696B"/>
      </colorScale>
    </cfRule>
    <cfRule type="colorScale" priority="971">
      <colorScale>
        <cfvo type="min"/>
        <cfvo type="max"/>
        <color rgb="FFF8696B"/>
        <color rgb="FFFCFCFF"/>
      </colorScale>
    </cfRule>
    <cfRule type="colorScale" priority="543">
      <colorScale>
        <cfvo type="min"/>
        <cfvo type="max"/>
        <color rgb="FFF8696B"/>
        <color rgb="FFFCFCFF"/>
      </colorScale>
    </cfRule>
    <cfRule type="colorScale" priority="536">
      <colorScale>
        <cfvo type="min"/>
        <cfvo type="max"/>
        <color rgb="FFFCFCFF"/>
        <color rgb="FFF8696B"/>
      </colorScale>
    </cfRule>
    <cfRule type="colorScale" priority="535">
      <colorScale>
        <cfvo type="min"/>
        <cfvo type="max"/>
        <color rgb="FFFCFCFF"/>
        <color rgb="FFF8696B"/>
      </colorScale>
    </cfRule>
    <cfRule type="colorScale" priority="963">
      <colorScale>
        <cfvo type="min"/>
        <cfvo type="max"/>
        <color rgb="FFFCFCFF"/>
        <color rgb="FFF8696B"/>
      </colorScale>
    </cfRule>
    <cfRule type="colorScale" priority="1391">
      <colorScale>
        <cfvo type="min"/>
        <cfvo type="max"/>
        <color rgb="FFFCFCFF"/>
        <color rgb="FFF8696B"/>
      </colorScale>
    </cfRule>
    <cfRule type="colorScale" priority="1398">
      <colorScale>
        <cfvo type="min"/>
        <cfvo type="max"/>
        <color rgb="FFFCFCFF"/>
        <color rgb="FFF8696B"/>
      </colorScale>
    </cfRule>
    <cfRule type="colorScale" priority="1397">
      <colorScale>
        <cfvo type="min"/>
        <cfvo type="max"/>
        <color rgb="FFFCFCFF"/>
        <color rgb="FFF8696B"/>
      </colorScale>
    </cfRule>
    <cfRule type="colorScale" priority="1392">
      <colorScale>
        <cfvo type="min"/>
        <cfvo type="max"/>
        <color rgb="FFFCFCFF"/>
        <color rgb="FFF8696B"/>
      </colorScale>
    </cfRule>
    <cfRule type="colorScale" priority="541">
      <colorScale>
        <cfvo type="min"/>
        <cfvo type="max"/>
        <color rgb="FFFCFCFF"/>
        <color rgb="FFF8696B"/>
      </colorScale>
    </cfRule>
    <cfRule type="colorScale" priority="1393">
      <colorScale>
        <cfvo type="min"/>
        <cfvo type="max"/>
        <color rgb="FFF8696B"/>
        <color rgb="FFFCFCFF"/>
      </colorScale>
    </cfRule>
    <cfRule type="colorScale" priority="542">
      <colorScale>
        <cfvo type="min"/>
        <cfvo type="max"/>
        <color rgb="FFFCFCFF"/>
        <color rgb="FFF8696B"/>
      </colorScale>
    </cfRule>
  </conditionalFormatting>
  <conditionalFormatting sqref="O34:W36 N33:N35 P35:X35 O36:X36">
    <cfRule type="colorScale" priority="697">
      <colorScale>
        <cfvo type="min"/>
        <cfvo type="max"/>
        <color rgb="FFF8696B"/>
        <color rgb="FFFCFCFF"/>
      </colorScale>
    </cfRule>
    <cfRule type="colorScale" priority="1120">
      <colorScale>
        <cfvo type="min"/>
        <cfvo type="max"/>
        <color rgb="FFFCFCFF"/>
        <color rgb="FFF8696B"/>
      </colorScale>
    </cfRule>
    <cfRule type="colorScale" priority="1125">
      <colorScale>
        <cfvo type="min"/>
        <cfvo type="max"/>
        <color rgb="FFF8696B"/>
        <color rgb="FFFCFCFF"/>
      </colorScale>
    </cfRule>
    <cfRule type="colorScale" priority="1549">
      <colorScale>
        <cfvo type="min"/>
        <cfvo type="max"/>
        <color rgb="FFFCFCFF"/>
        <color rgb="FFF8696B"/>
      </colorScale>
    </cfRule>
    <cfRule type="colorScale" priority="692">
      <colorScale>
        <cfvo type="min"/>
        <cfvo type="max"/>
        <color rgb="FFFCFCFF"/>
        <color rgb="FFF8696B"/>
      </colorScale>
    </cfRule>
    <cfRule type="colorScale" priority="693">
      <colorScale>
        <cfvo type="min"/>
        <cfvo type="max"/>
        <color rgb="FFFCFCFF"/>
        <color rgb="FFF8696B"/>
      </colorScale>
    </cfRule>
    <cfRule type="colorScale" priority="1548">
      <colorScale>
        <cfvo type="min"/>
        <cfvo type="max"/>
        <color rgb="FFFCFCFF"/>
        <color rgb="FFF8696B"/>
      </colorScale>
    </cfRule>
    <cfRule type="colorScale" priority="1121">
      <colorScale>
        <cfvo type="min"/>
        <cfvo type="max"/>
        <color rgb="FFFCFCFF"/>
        <color rgb="FFF8696B"/>
      </colorScale>
    </cfRule>
    <cfRule type="colorScale" priority="1553">
      <colorScale>
        <cfvo type="min"/>
        <cfvo type="max"/>
        <color rgb="FFF8696B"/>
        <color rgb="FFFCFCFF"/>
      </colorScale>
    </cfRule>
  </conditionalFormatting>
  <conditionalFormatting sqref="O41:W41 N40">
    <cfRule type="colorScale" priority="1343">
      <colorScale>
        <cfvo type="min"/>
        <cfvo type="max"/>
        <color rgb="FFFCFCFF"/>
        <color rgb="FFF8696B"/>
      </colorScale>
    </cfRule>
    <cfRule type="colorScale" priority="498">
      <colorScale>
        <cfvo type="min"/>
        <cfvo type="max"/>
        <color rgb="FFF8696B"/>
        <color rgb="FFFCFCFF"/>
      </colorScale>
    </cfRule>
    <cfRule type="colorScale" priority="488">
      <colorScale>
        <cfvo type="min"/>
        <cfvo type="max"/>
        <color rgb="FFFCFCFF"/>
        <color rgb="FFF8696B"/>
      </colorScale>
    </cfRule>
    <cfRule type="colorScale" priority="916">
      <colorScale>
        <cfvo type="min"/>
        <cfvo type="max"/>
        <color rgb="FFFCFCFF"/>
        <color rgb="FFF8696B"/>
      </colorScale>
    </cfRule>
    <cfRule type="colorScale" priority="915">
      <colorScale>
        <cfvo type="min"/>
        <cfvo type="max"/>
        <color rgb="FFFCFCFF"/>
        <color rgb="FFF8696B"/>
      </colorScale>
    </cfRule>
    <cfRule type="colorScale" priority="487">
      <colorScale>
        <cfvo type="min"/>
        <cfvo type="max"/>
        <color rgb="FFFCFCFF"/>
        <color rgb="FFF8696B"/>
      </colorScale>
    </cfRule>
    <cfRule type="colorScale" priority="1344">
      <colorScale>
        <cfvo type="min"/>
        <cfvo type="max"/>
        <color rgb="FFFCFCFF"/>
        <color rgb="FFF8696B"/>
      </colorScale>
    </cfRule>
    <cfRule type="colorScale" priority="1354">
      <colorScale>
        <cfvo type="min"/>
        <cfvo type="max"/>
        <color rgb="FFF8696B"/>
        <color rgb="FFFCFCFF"/>
      </colorScale>
    </cfRule>
    <cfRule type="colorScale" priority="926">
      <colorScale>
        <cfvo type="min"/>
        <cfvo type="max"/>
        <color rgb="FFF8696B"/>
        <color rgb="FFFCFCFF"/>
      </colorScale>
    </cfRule>
  </conditionalFormatting>
  <conditionalFormatting sqref="O42:W42">
    <cfRule type="colorScale" priority="1178">
      <colorScale>
        <cfvo type="min"/>
        <cfvo type="max"/>
        <color rgb="FFFCFCFF"/>
        <color rgb="FFF8696B"/>
      </colorScale>
    </cfRule>
    <cfRule type="colorScale" priority="751">
      <colorScale>
        <cfvo type="min"/>
        <cfvo type="max"/>
        <color rgb="FFF8696B"/>
        <color rgb="FFFCFCFF"/>
      </colorScale>
    </cfRule>
    <cfRule type="colorScale" priority="750">
      <colorScale>
        <cfvo type="min"/>
        <cfvo type="max"/>
        <color rgb="FFFCFCFF"/>
        <color rgb="FFF8696B"/>
      </colorScale>
    </cfRule>
    <cfRule type="colorScale" priority="749">
      <colorScale>
        <cfvo type="min"/>
        <cfvo type="max"/>
        <color rgb="FFFCFCFF"/>
        <color rgb="FFF8696B"/>
      </colorScale>
    </cfRule>
    <cfRule type="colorScale" priority="321">
      <colorScale>
        <cfvo type="min"/>
        <cfvo type="max"/>
        <color rgb="FFFCFCFF"/>
        <color rgb="FFF8696B"/>
      </colorScale>
    </cfRule>
    <cfRule type="colorScale" priority="322">
      <colorScale>
        <cfvo type="min"/>
        <cfvo type="max"/>
        <color rgb="FFFCFCFF"/>
        <color rgb="FFF8696B"/>
      </colorScale>
    </cfRule>
    <cfRule type="colorScale" priority="323">
      <colorScale>
        <cfvo type="min"/>
        <cfvo type="max"/>
        <color rgb="FFF8696B"/>
        <color rgb="FFFCFCFF"/>
      </colorScale>
    </cfRule>
    <cfRule type="colorScale" priority="327">
      <colorScale>
        <cfvo type="min"/>
        <cfvo type="max"/>
        <color rgb="FFFCFCFF"/>
        <color rgb="FFF8696B"/>
      </colorScale>
    </cfRule>
    <cfRule type="colorScale" priority="328">
      <colorScale>
        <cfvo type="min"/>
        <cfvo type="max"/>
        <color rgb="FFFCFCFF"/>
        <color rgb="FFF8696B"/>
      </colorScale>
    </cfRule>
    <cfRule type="colorScale" priority="1177">
      <colorScale>
        <cfvo type="min"/>
        <cfvo type="max"/>
        <color rgb="FFFCFCFF"/>
        <color rgb="FFF8696B"/>
      </colorScale>
    </cfRule>
    <cfRule type="colorScale" priority="755">
      <colorScale>
        <cfvo type="min"/>
        <cfvo type="max"/>
        <color rgb="FFFCFCFF"/>
        <color rgb="FFF8696B"/>
      </colorScale>
    </cfRule>
    <cfRule type="colorScale" priority="1179">
      <colorScale>
        <cfvo type="min"/>
        <cfvo type="max"/>
        <color rgb="FFF8696B"/>
        <color rgb="FFFCFCFF"/>
      </colorScale>
    </cfRule>
    <cfRule type="colorScale" priority="1183">
      <colorScale>
        <cfvo type="min"/>
        <cfvo type="max"/>
        <color rgb="FFFCFCFF"/>
        <color rgb="FFF8696B"/>
      </colorScale>
    </cfRule>
    <cfRule type="colorScale" priority="1184">
      <colorScale>
        <cfvo type="min"/>
        <cfvo type="max"/>
        <color rgb="FFFCFCFF"/>
        <color rgb="FFF8696B"/>
      </colorScale>
    </cfRule>
    <cfRule type="colorScale" priority="1185">
      <colorScale>
        <cfvo type="min"/>
        <cfvo type="max"/>
        <color rgb="FFF8696B"/>
        <color rgb="FFFCFCFF"/>
      </colorScale>
    </cfRule>
    <cfRule type="colorScale" priority="329">
      <colorScale>
        <cfvo type="min"/>
        <cfvo type="max"/>
        <color rgb="FFF8696B"/>
        <color rgb="FFFCFCFF"/>
      </colorScale>
    </cfRule>
    <cfRule type="colorScale" priority="756">
      <colorScale>
        <cfvo type="min"/>
        <cfvo type="max"/>
        <color rgb="FFFCFCFF"/>
        <color rgb="FFF8696B"/>
      </colorScale>
    </cfRule>
    <cfRule type="colorScale" priority="757">
      <colorScale>
        <cfvo type="min"/>
        <cfvo type="max"/>
        <color rgb="FFF8696B"/>
        <color rgb="FFFCFCFF"/>
      </colorScale>
    </cfRule>
  </conditionalFormatting>
  <conditionalFormatting sqref="O42:W44 N41:N43 P43:X43 O44:X44">
    <cfRule type="colorScale" priority="907">
      <colorScale>
        <cfvo type="min"/>
        <cfvo type="max"/>
        <color rgb="FFFCFCFF"/>
        <color rgb="FFF8696B"/>
      </colorScale>
    </cfRule>
    <cfRule type="colorScale" priority="911">
      <colorScale>
        <cfvo type="min"/>
        <cfvo type="max"/>
        <color rgb="FFF8696B"/>
        <color rgb="FFFCFCFF"/>
      </colorScale>
    </cfRule>
    <cfRule type="colorScale" priority="1334">
      <colorScale>
        <cfvo type="min"/>
        <cfvo type="max"/>
        <color rgb="FFFCFCFF"/>
        <color rgb="FFF8696B"/>
      </colorScale>
    </cfRule>
    <cfRule type="colorScale" priority="1335">
      <colorScale>
        <cfvo type="min"/>
        <cfvo type="max"/>
        <color rgb="FFFCFCFF"/>
        <color rgb="FFF8696B"/>
      </colorScale>
    </cfRule>
    <cfRule type="colorScale" priority="478">
      <colorScale>
        <cfvo type="min"/>
        <cfvo type="max"/>
        <color rgb="FFFCFCFF"/>
        <color rgb="FFF8696B"/>
      </colorScale>
    </cfRule>
    <cfRule type="colorScale" priority="479">
      <colorScale>
        <cfvo type="min"/>
        <cfvo type="max"/>
        <color rgb="FFFCFCFF"/>
        <color rgb="FFF8696B"/>
      </colorScale>
    </cfRule>
    <cfRule type="colorScale" priority="483">
      <colorScale>
        <cfvo type="min"/>
        <cfvo type="max"/>
        <color rgb="FFF8696B"/>
        <color rgb="FFFCFCFF"/>
      </colorScale>
    </cfRule>
    <cfRule type="colorScale" priority="1339">
      <colorScale>
        <cfvo type="min"/>
        <cfvo type="max"/>
        <color rgb="FFF8696B"/>
        <color rgb="FFFCFCFF"/>
      </colorScale>
    </cfRule>
    <cfRule type="colorScale" priority="906">
      <colorScale>
        <cfvo type="min"/>
        <cfvo type="max"/>
        <color rgb="FFFCFCFF"/>
        <color rgb="FFF8696B"/>
      </colorScale>
    </cfRule>
  </conditionalFormatting>
  <conditionalFormatting sqref="O29:X30">
    <cfRule type="colorScale" priority="2005">
      <colorScale>
        <cfvo type="min"/>
        <cfvo type="max"/>
        <color rgb="FFFCFCFF"/>
        <color rgb="FFF8696B"/>
      </colorScale>
    </cfRule>
    <cfRule type="colorScale" priority="2004">
      <colorScale>
        <cfvo type="min"/>
        <cfvo type="max"/>
        <color rgb="FFFCFCFF"/>
        <color rgb="FFF8696B"/>
      </colorScale>
    </cfRule>
    <cfRule type="colorScale" priority="2003">
      <colorScale>
        <cfvo type="min"/>
        <cfvo type="max"/>
        <color rgb="FFFCFCFF"/>
        <color rgb="FFF8696B"/>
      </colorScale>
    </cfRule>
    <cfRule type="colorScale" priority="2006">
      <colorScale>
        <cfvo type="min"/>
        <cfvo type="max"/>
        <color rgb="FFFCFCFF"/>
        <color rgb="FFF8696B"/>
      </colorScale>
    </cfRule>
    <cfRule type="colorScale" priority="1924">
      <colorScale>
        <cfvo type="min"/>
        <cfvo type="max"/>
        <color rgb="FFFCFCFF"/>
        <color rgb="FFF8696B"/>
      </colorScale>
    </cfRule>
    <cfRule type="colorScale" priority="2018">
      <colorScale>
        <cfvo type="min"/>
        <cfvo type="max"/>
        <color rgb="FFFCFCFF"/>
        <color rgb="FFF8696B"/>
      </colorScale>
    </cfRule>
    <cfRule type="colorScale" priority="2007">
      <colorScale>
        <cfvo type="min"/>
        <cfvo type="max"/>
        <color rgb="FFFCFCFF"/>
        <color rgb="FFF8696B"/>
      </colorScale>
    </cfRule>
    <cfRule type="colorScale" priority="2026">
      <colorScale>
        <cfvo type="min"/>
        <cfvo type="max"/>
        <color rgb="FFF8696B"/>
        <color rgb="FFFCFCFF"/>
      </colorScale>
    </cfRule>
    <cfRule type="colorScale" priority="2008">
      <colorScale>
        <cfvo type="min"/>
        <cfvo type="max"/>
        <color rgb="FFF8696B"/>
        <color rgb="FFFCFCFF"/>
      </colorScale>
    </cfRule>
  </conditionalFormatting>
  <conditionalFormatting sqref="O30:X30">
    <cfRule type="colorScale" priority="1810">
      <colorScale>
        <cfvo type="min"/>
        <cfvo type="max"/>
        <color rgb="FFFCFCFF"/>
        <color rgb="FFF8696B"/>
      </colorScale>
    </cfRule>
  </conditionalFormatting>
  <conditionalFormatting sqref="O33:X34 N32">
    <cfRule type="colorScale" priority="701">
      <colorScale>
        <cfvo type="min"/>
        <cfvo type="max"/>
        <color rgb="FFFCFCFF"/>
        <color rgb="FFF8696B"/>
      </colorScale>
    </cfRule>
    <cfRule type="colorScale" priority="1140">
      <colorScale>
        <cfvo type="min"/>
        <cfvo type="max"/>
        <color rgb="FFF8696B"/>
        <color rgb="FFFCFCFF"/>
      </colorScale>
    </cfRule>
    <cfRule type="colorScale" priority="712">
      <colorScale>
        <cfvo type="min"/>
        <cfvo type="max"/>
        <color rgb="FFF8696B"/>
        <color rgb="FFFCFCFF"/>
      </colorScale>
    </cfRule>
    <cfRule type="colorScale" priority="1130">
      <colorScale>
        <cfvo type="min"/>
        <cfvo type="max"/>
        <color rgb="FFFCFCFF"/>
        <color rgb="FFF8696B"/>
      </colorScale>
    </cfRule>
    <cfRule type="colorScale" priority="1129">
      <colorScale>
        <cfvo type="min"/>
        <cfvo type="max"/>
        <color rgb="FFFCFCFF"/>
        <color rgb="FFF8696B"/>
      </colorScale>
    </cfRule>
    <cfRule type="colorScale" priority="702">
      <colorScale>
        <cfvo type="min"/>
        <cfvo type="max"/>
        <color rgb="FFFCFCFF"/>
        <color rgb="FFF8696B"/>
      </colorScale>
    </cfRule>
    <cfRule type="colorScale" priority="1568">
      <colorScale>
        <cfvo type="min"/>
        <cfvo type="max"/>
        <color rgb="FFF8696B"/>
        <color rgb="FFFCFCFF"/>
      </colorScale>
    </cfRule>
    <cfRule type="colorScale" priority="1558">
      <colorScale>
        <cfvo type="min"/>
        <cfvo type="max"/>
        <color rgb="FFFCFCFF"/>
        <color rgb="FFF8696B"/>
      </colorScale>
    </cfRule>
    <cfRule type="colorScale" priority="1557">
      <colorScale>
        <cfvo type="min"/>
        <cfvo type="max"/>
        <color rgb="FFFCFCFF"/>
        <color rgb="FFF8696B"/>
      </colorScale>
    </cfRule>
  </conditionalFormatting>
  <conditionalFormatting sqref="O35:X36">
    <cfRule type="colorScale" priority="960">
      <colorScale>
        <cfvo type="min"/>
        <cfvo type="max"/>
        <color rgb="FFFCFCFF"/>
        <color rgb="FFF8696B"/>
      </colorScale>
    </cfRule>
    <cfRule type="colorScale" priority="540">
      <colorScale>
        <cfvo type="min"/>
        <cfvo type="max"/>
        <color rgb="FFF8696B"/>
        <color rgb="FFFCFCFF"/>
      </colorScale>
    </cfRule>
    <cfRule type="colorScale" priority="961">
      <colorScale>
        <cfvo type="min"/>
        <cfvo type="max"/>
        <color rgb="FFFCFCFF"/>
        <color rgb="FFF8696B"/>
      </colorScale>
    </cfRule>
    <cfRule type="colorScale" priority="962">
      <colorScale>
        <cfvo type="min"/>
        <cfvo type="max"/>
        <color rgb="FFF8696B"/>
        <color rgb="FFFCFCFF"/>
      </colorScale>
    </cfRule>
    <cfRule type="colorScale" priority="966">
      <colorScale>
        <cfvo type="min"/>
        <cfvo type="max"/>
        <color rgb="FFFCFCFF"/>
        <color rgb="FFF8696B"/>
      </colorScale>
    </cfRule>
    <cfRule type="colorScale" priority="967">
      <colorScale>
        <cfvo type="min"/>
        <cfvo type="max"/>
        <color rgb="FFFCFCFF"/>
        <color rgb="FFF8696B"/>
      </colorScale>
    </cfRule>
    <cfRule type="colorScale" priority="1390">
      <colorScale>
        <cfvo type="min"/>
        <cfvo type="max"/>
        <color rgb="FFF8696B"/>
        <color rgb="FFFCFCFF"/>
      </colorScale>
    </cfRule>
    <cfRule type="colorScale" priority="1394">
      <colorScale>
        <cfvo type="min"/>
        <cfvo type="max"/>
        <color rgb="FFFCFCFF"/>
        <color rgb="FFF8696B"/>
      </colorScale>
    </cfRule>
    <cfRule type="colorScale" priority="1395">
      <colorScale>
        <cfvo type="min"/>
        <cfvo type="max"/>
        <color rgb="FFFCFCFF"/>
        <color rgb="FFF8696B"/>
      </colorScale>
    </cfRule>
    <cfRule type="colorScale" priority="968">
      <colorScale>
        <cfvo type="min"/>
        <cfvo type="max"/>
        <color rgb="FFF8696B"/>
        <color rgb="FFFCFCFF"/>
      </colorScale>
    </cfRule>
    <cfRule type="colorScale" priority="1396">
      <colorScale>
        <cfvo type="min"/>
        <cfvo type="max"/>
        <color rgb="FFF8696B"/>
        <color rgb="FFFCFCFF"/>
      </colorScale>
    </cfRule>
    <cfRule type="colorScale" priority="532">
      <colorScale>
        <cfvo type="min"/>
        <cfvo type="max"/>
        <color rgb="FFFCFCFF"/>
        <color rgb="FFF8696B"/>
      </colorScale>
    </cfRule>
    <cfRule type="colorScale" priority="533">
      <colorScale>
        <cfvo type="min"/>
        <cfvo type="max"/>
        <color rgb="FFFCFCFF"/>
        <color rgb="FFF8696B"/>
      </colorScale>
    </cfRule>
    <cfRule type="colorScale" priority="534">
      <colorScale>
        <cfvo type="min"/>
        <cfvo type="max"/>
        <color rgb="FFF8696B"/>
        <color rgb="FFFCFCFF"/>
      </colorScale>
    </cfRule>
    <cfRule type="colorScale" priority="539">
      <colorScale>
        <cfvo type="min"/>
        <cfvo type="max"/>
        <color rgb="FFFCFCFF"/>
        <color rgb="FFF8696B"/>
      </colorScale>
    </cfRule>
    <cfRule type="colorScale" priority="1389">
      <colorScale>
        <cfvo type="min"/>
        <cfvo type="max"/>
        <color rgb="FFFCFCFF"/>
        <color rgb="FFF8696B"/>
      </colorScale>
    </cfRule>
    <cfRule type="colorScale" priority="1388">
      <colorScale>
        <cfvo type="min"/>
        <cfvo type="max"/>
        <color rgb="FFFCFCFF"/>
        <color rgb="FFF8696B"/>
      </colorScale>
    </cfRule>
    <cfRule type="colorScale" priority="538">
      <colorScale>
        <cfvo type="min"/>
        <cfvo type="max"/>
        <color rgb="FFFCFCFF"/>
        <color rgb="FFF8696B"/>
      </colorScale>
    </cfRule>
  </conditionalFormatting>
  <conditionalFormatting sqref="O43:X44">
    <cfRule type="colorScale" priority="752">
      <colorScale>
        <cfvo type="min"/>
        <cfvo type="max"/>
        <color rgb="FFFCFCFF"/>
        <color rgb="FFF8696B"/>
      </colorScale>
    </cfRule>
    <cfRule type="colorScale" priority="1174">
      <colorScale>
        <cfvo type="min"/>
        <cfvo type="max"/>
        <color rgb="FFFCFCFF"/>
        <color rgb="FFF8696B"/>
      </colorScale>
    </cfRule>
    <cfRule type="colorScale" priority="318">
      <colorScale>
        <cfvo type="min"/>
        <cfvo type="max"/>
        <color rgb="FFFCFCFF"/>
        <color rgb="FFF8696B"/>
      </colorScale>
    </cfRule>
    <cfRule type="colorScale" priority="319">
      <colorScale>
        <cfvo type="min"/>
        <cfvo type="max"/>
        <color rgb="FFFCFCFF"/>
        <color rgb="FFF8696B"/>
      </colorScale>
    </cfRule>
    <cfRule type="colorScale" priority="320">
      <colorScale>
        <cfvo type="min"/>
        <cfvo type="max"/>
        <color rgb="FFF8696B"/>
        <color rgb="FFFCFCFF"/>
      </colorScale>
    </cfRule>
    <cfRule type="colorScale" priority="324">
      <colorScale>
        <cfvo type="min"/>
        <cfvo type="max"/>
        <color rgb="FFFCFCFF"/>
        <color rgb="FFF8696B"/>
      </colorScale>
    </cfRule>
    <cfRule type="colorScale" priority="325">
      <colorScale>
        <cfvo type="min"/>
        <cfvo type="max"/>
        <color rgb="FFFCFCFF"/>
        <color rgb="FFF8696B"/>
      </colorScale>
    </cfRule>
    <cfRule type="colorScale" priority="326">
      <colorScale>
        <cfvo type="min"/>
        <cfvo type="max"/>
        <color rgb="FFF8696B"/>
        <color rgb="FFFCFCFF"/>
      </colorScale>
    </cfRule>
    <cfRule type="colorScale" priority="1175">
      <colorScale>
        <cfvo type="min"/>
        <cfvo type="max"/>
        <color rgb="FFFCFCFF"/>
        <color rgb="FFF8696B"/>
      </colorScale>
    </cfRule>
    <cfRule type="colorScale" priority="1176">
      <colorScale>
        <cfvo type="min"/>
        <cfvo type="max"/>
        <color rgb="FFF8696B"/>
        <color rgb="FFFCFCFF"/>
      </colorScale>
    </cfRule>
    <cfRule type="colorScale" priority="753">
      <colorScale>
        <cfvo type="min"/>
        <cfvo type="max"/>
        <color rgb="FFFCFCFF"/>
        <color rgb="FFF8696B"/>
      </colorScale>
    </cfRule>
    <cfRule type="colorScale" priority="748">
      <colorScale>
        <cfvo type="min"/>
        <cfvo type="max"/>
        <color rgb="FFF8696B"/>
        <color rgb="FFFCFCFF"/>
      </colorScale>
    </cfRule>
    <cfRule type="colorScale" priority="747">
      <colorScale>
        <cfvo type="min"/>
        <cfvo type="max"/>
        <color rgb="FFFCFCFF"/>
        <color rgb="FFF8696B"/>
      </colorScale>
    </cfRule>
    <cfRule type="colorScale" priority="746">
      <colorScale>
        <cfvo type="min"/>
        <cfvo type="max"/>
        <color rgb="FFFCFCFF"/>
        <color rgb="FFF8696B"/>
      </colorScale>
    </cfRule>
    <cfRule type="colorScale" priority="1180">
      <colorScale>
        <cfvo type="min"/>
        <cfvo type="max"/>
        <color rgb="FFFCFCFF"/>
        <color rgb="FFF8696B"/>
      </colorScale>
    </cfRule>
    <cfRule type="colorScale" priority="754">
      <colorScale>
        <cfvo type="min"/>
        <cfvo type="max"/>
        <color rgb="FFF8696B"/>
        <color rgb="FFFCFCFF"/>
      </colorScale>
    </cfRule>
    <cfRule type="colorScale" priority="1182">
      <colorScale>
        <cfvo type="min"/>
        <cfvo type="max"/>
        <color rgb="FFF8696B"/>
        <color rgb="FFFCFCFF"/>
      </colorScale>
    </cfRule>
    <cfRule type="colorScale" priority="1181">
      <colorScale>
        <cfvo type="min"/>
        <cfvo type="max"/>
        <color rgb="FFFCFCFF"/>
        <color rgb="FFF8696B"/>
      </colorScale>
    </cfRule>
  </conditionalFormatting>
  <conditionalFormatting sqref="T29:T30 V29:V30">
    <cfRule type="colorScale" priority="2016">
      <colorScale>
        <cfvo type="min"/>
        <cfvo type="max"/>
        <color rgb="FFFCFCFF"/>
        <color rgb="FFF8696B"/>
      </colorScale>
    </cfRule>
    <cfRule type="colorScale" priority="2013">
      <colorScale>
        <cfvo type="min"/>
        <cfvo type="max"/>
        <color rgb="FFFCFCFF"/>
        <color rgb="FFF8696B"/>
      </colorScale>
    </cfRule>
    <cfRule type="colorScale" priority="2009">
      <colorScale>
        <cfvo type="min"/>
        <cfvo type="max"/>
        <color rgb="FFFCFCFF"/>
        <color rgb="FFF8696B"/>
      </colorScale>
    </cfRule>
    <cfRule type="colorScale" priority="2017">
      <colorScale>
        <cfvo type="min"/>
        <cfvo type="max"/>
        <color rgb="FFF8696B"/>
        <color rgb="FFFCFCFF"/>
      </colorScale>
    </cfRule>
    <cfRule type="colorScale" priority="2012">
      <colorScale>
        <cfvo type="min"/>
        <cfvo type="max"/>
        <color rgb="FFFCFCFF"/>
        <color rgb="FFF8696B"/>
      </colorScale>
    </cfRule>
    <cfRule type="colorScale" priority="2014">
      <colorScale>
        <cfvo type="min"/>
        <cfvo type="max"/>
        <color rgb="FFF8696B"/>
        <color rgb="FFFCFCFF"/>
      </colorScale>
    </cfRule>
    <cfRule type="colorScale" priority="2015">
      <colorScale>
        <cfvo type="min"/>
        <cfvo type="max"/>
        <color rgb="FFFCFCFF"/>
        <color rgb="FFF8696B"/>
      </colorScale>
    </cfRule>
    <cfRule type="colorScale" priority="2011">
      <colorScale>
        <cfvo type="min"/>
        <cfvo type="max"/>
        <color rgb="FFF8696B"/>
        <color rgb="FFFCFCFF"/>
      </colorScale>
    </cfRule>
    <cfRule type="colorScale" priority="2010">
      <colorScale>
        <cfvo type="min"/>
        <cfvo type="max"/>
        <color rgb="FFFCFCFF"/>
        <color rgb="FFF8696B"/>
      </colorScale>
    </cfRule>
  </conditionalFormatting>
  <conditionalFormatting sqref="T30 V30">
    <cfRule type="colorScale" priority="1897">
      <colorScale>
        <cfvo type="min"/>
        <cfvo type="max"/>
        <color rgb="FFF8696B"/>
        <color rgb="FFFCFCFF"/>
      </colorScale>
    </cfRule>
    <cfRule type="colorScale" priority="1903">
      <colorScale>
        <cfvo type="min"/>
        <cfvo type="max"/>
        <color rgb="FFF8696B"/>
        <color rgb="FFFCFCFF"/>
      </colorScale>
    </cfRule>
    <cfRule type="colorScale" priority="1896">
      <colorScale>
        <cfvo type="min"/>
        <cfvo type="max"/>
        <color rgb="FFFCFCFF"/>
        <color rgb="FFF8696B"/>
      </colorScale>
    </cfRule>
    <cfRule type="colorScale" priority="1902">
      <colorScale>
        <cfvo type="min"/>
        <cfvo type="max"/>
        <color rgb="FFFCFCFF"/>
        <color rgb="FFF8696B"/>
      </colorScale>
    </cfRule>
    <cfRule type="colorScale" priority="1901">
      <colorScale>
        <cfvo type="min"/>
        <cfvo type="max"/>
        <color rgb="FFFCFCFF"/>
        <color rgb="FFF8696B"/>
      </colorScale>
    </cfRule>
    <cfRule type="colorScale" priority="1900">
      <colorScale>
        <cfvo type="min"/>
        <cfvo type="max"/>
        <color rgb="FFF8696B"/>
        <color rgb="FFFCFCFF"/>
      </colorScale>
    </cfRule>
    <cfRule type="colorScale" priority="1899">
      <colorScale>
        <cfvo type="min"/>
        <cfvo type="max"/>
        <color rgb="FFFCFCFF"/>
        <color rgb="FFF8696B"/>
      </colorScale>
    </cfRule>
    <cfRule type="colorScale" priority="1898">
      <colorScale>
        <cfvo type="min"/>
        <cfvo type="max"/>
        <color rgb="FFFCFCFF"/>
        <color rgb="FFF8696B"/>
      </colorScale>
    </cfRule>
    <cfRule type="colorScale" priority="1895">
      <colorScale>
        <cfvo type="min"/>
        <cfvo type="max"/>
        <color rgb="FFFCFCFF"/>
        <color rgb="FFF8696B"/>
      </colorScale>
    </cfRule>
  </conditionalFormatting>
  <conditionalFormatting sqref="T29:W30">
    <cfRule type="colorScale" priority="2022">
      <colorScale>
        <cfvo type="min"/>
        <cfvo type="max"/>
        <color rgb="FFFCFCFF"/>
        <color rgb="FFF8696B"/>
      </colorScale>
    </cfRule>
    <cfRule type="colorScale" priority="2021">
      <colorScale>
        <cfvo type="min"/>
        <cfvo type="max"/>
        <color rgb="FFFCFCFF"/>
        <color rgb="FFF8696B"/>
      </colorScale>
    </cfRule>
    <cfRule type="colorScale" priority="2023">
      <colorScale>
        <cfvo type="min"/>
        <cfvo type="max"/>
        <color rgb="FFF8696B"/>
        <color rgb="FFFCFCFF"/>
      </colorScale>
    </cfRule>
  </conditionalFormatting>
  <conditionalFormatting sqref="T30:W30">
    <cfRule type="colorScale" priority="1908">
      <colorScale>
        <cfvo type="min"/>
        <cfvo type="max"/>
        <color rgb="FFFCFCFF"/>
        <color rgb="FFF8696B"/>
      </colorScale>
    </cfRule>
    <cfRule type="colorScale" priority="1907">
      <colorScale>
        <cfvo type="min"/>
        <cfvo type="max"/>
        <color rgb="FFFCFCFF"/>
        <color rgb="FFF8696B"/>
      </colorScale>
    </cfRule>
    <cfRule type="colorScale" priority="1909">
      <colorScale>
        <cfvo type="min"/>
        <cfvo type="max"/>
        <color rgb="FFF8696B"/>
        <color rgb="FFFCFCFF"/>
      </colorScale>
    </cfRule>
  </conditionalFormatting>
  <conditionalFormatting sqref="T30:W32">
    <cfRule type="colorScale" priority="1168">
      <colorScale>
        <cfvo type="min"/>
        <cfvo type="max"/>
        <color rgb="FFFCFCFF"/>
        <color rgb="FFF8696B"/>
      </colorScale>
    </cfRule>
    <cfRule type="colorScale" priority="1598">
      <colorScale>
        <cfvo type="min"/>
        <cfvo type="max"/>
        <color rgb="FFF8696B"/>
        <color rgb="FFFCFCFF"/>
      </colorScale>
    </cfRule>
    <cfRule type="colorScale" priority="1169">
      <colorScale>
        <cfvo type="min"/>
        <cfvo type="max"/>
        <color rgb="FFFCFCFF"/>
        <color rgb="FFF8696B"/>
      </colorScale>
    </cfRule>
    <cfRule type="colorScale" priority="1170">
      <colorScale>
        <cfvo type="min"/>
        <cfvo type="max"/>
        <color rgb="FFF8696B"/>
        <color rgb="FFFCFCFF"/>
      </colorScale>
    </cfRule>
    <cfRule type="colorScale" priority="742">
      <colorScale>
        <cfvo type="min"/>
        <cfvo type="max"/>
        <color rgb="FFF8696B"/>
        <color rgb="FFFCFCFF"/>
      </colorScale>
    </cfRule>
    <cfRule type="colorScale" priority="1596">
      <colorScale>
        <cfvo type="min"/>
        <cfvo type="max"/>
        <color rgb="FFFCFCFF"/>
        <color rgb="FFF8696B"/>
      </colorScale>
    </cfRule>
    <cfRule type="colorScale" priority="1597">
      <colorScale>
        <cfvo type="min"/>
        <cfvo type="max"/>
        <color rgb="FFFCFCFF"/>
        <color rgb="FFF8696B"/>
      </colorScale>
    </cfRule>
    <cfRule type="colorScale" priority="741">
      <colorScale>
        <cfvo type="min"/>
        <cfvo type="max"/>
        <color rgb="FFFCFCFF"/>
        <color rgb="FFF8696B"/>
      </colorScale>
    </cfRule>
    <cfRule type="colorScale" priority="740">
      <colorScale>
        <cfvo type="min"/>
        <cfvo type="max"/>
        <color rgb="FFFCFCFF"/>
        <color rgb="FFF8696B"/>
      </colorScale>
    </cfRule>
  </conditionalFormatting>
  <conditionalFormatting sqref="T38:W42">
    <cfRule type="colorScale" priority="1384">
      <colorScale>
        <cfvo type="min"/>
        <cfvo type="max"/>
        <color rgb="FFF8696B"/>
        <color rgb="FFFCFCFF"/>
      </colorScale>
    </cfRule>
    <cfRule type="colorScale" priority="526">
      <colorScale>
        <cfvo type="min"/>
        <cfvo type="max"/>
        <color rgb="FFFCFCFF"/>
        <color rgb="FFF8696B"/>
      </colorScale>
    </cfRule>
    <cfRule type="colorScale" priority="1382">
      <colorScale>
        <cfvo type="min"/>
        <cfvo type="max"/>
        <color rgb="FFFCFCFF"/>
        <color rgb="FFF8696B"/>
      </colorScale>
    </cfRule>
    <cfRule type="colorScale" priority="528">
      <colorScale>
        <cfvo type="min"/>
        <cfvo type="max"/>
        <color rgb="FFF8696B"/>
        <color rgb="FFFCFCFF"/>
      </colorScale>
    </cfRule>
    <cfRule type="colorScale" priority="956">
      <colorScale>
        <cfvo type="min"/>
        <cfvo type="max"/>
        <color rgb="FFF8696B"/>
        <color rgb="FFFCFCFF"/>
      </colorScale>
    </cfRule>
    <cfRule type="colorScale" priority="955">
      <colorScale>
        <cfvo type="min"/>
        <cfvo type="max"/>
        <color rgb="FFFCFCFF"/>
        <color rgb="FFF8696B"/>
      </colorScale>
    </cfRule>
    <cfRule type="colorScale" priority="954">
      <colorScale>
        <cfvo type="min"/>
        <cfvo type="max"/>
        <color rgb="FFFCFCFF"/>
        <color rgb="FFF8696B"/>
      </colorScale>
    </cfRule>
    <cfRule type="colorScale" priority="1383">
      <colorScale>
        <cfvo type="min"/>
        <cfvo type="max"/>
        <color rgb="FFFCFCFF"/>
        <color rgb="FFF8696B"/>
      </colorScale>
    </cfRule>
    <cfRule type="colorScale" priority="527">
      <colorScale>
        <cfvo type="min"/>
        <cfvo type="max"/>
        <color rgb="FFFCFCFF"/>
        <color rgb="FFF8696B"/>
      </colorScale>
    </cfRule>
  </conditionalFormatting>
  <conditionalFormatting sqref="U33:U35 N32 W33:W35 O33:S35 P33:X33 O34:X34 P35:X35 O36:X36">
    <cfRule type="colorScale" priority="1134">
      <colorScale>
        <cfvo type="min"/>
        <cfvo type="max"/>
        <color rgb="FFFCFCFF"/>
        <color rgb="FFF8696B"/>
      </colorScale>
    </cfRule>
    <cfRule type="colorScale" priority="710">
      <colorScale>
        <cfvo type="min"/>
        <cfvo type="max"/>
        <color rgb="FFFCFCFF"/>
        <color rgb="FFF8696B"/>
      </colorScale>
    </cfRule>
    <cfRule type="colorScale" priority="711">
      <colorScale>
        <cfvo type="min"/>
        <cfvo type="max"/>
        <color rgb="FFFCFCFF"/>
        <color rgb="FFF8696B"/>
      </colorScale>
    </cfRule>
    <cfRule type="colorScale" priority="1139">
      <colorScale>
        <cfvo type="min"/>
        <cfvo type="max"/>
        <color rgb="FFFCFCFF"/>
        <color rgb="FFF8696B"/>
      </colorScale>
    </cfRule>
    <cfRule type="colorScale" priority="706">
      <colorScale>
        <cfvo type="min"/>
        <cfvo type="max"/>
        <color rgb="FFFCFCFF"/>
        <color rgb="FFF8696B"/>
      </colorScale>
    </cfRule>
    <cfRule type="colorScale" priority="1138">
      <colorScale>
        <cfvo type="min"/>
        <cfvo type="max"/>
        <color rgb="FFFCFCFF"/>
        <color rgb="FFF8696B"/>
      </colorScale>
    </cfRule>
    <cfRule type="colorScale" priority="1562">
      <colorScale>
        <cfvo type="min"/>
        <cfvo type="max"/>
        <color rgb="FFFCFCFF"/>
        <color rgb="FFF8696B"/>
      </colorScale>
    </cfRule>
    <cfRule type="colorScale" priority="1567">
      <colorScale>
        <cfvo type="min"/>
        <cfvo type="max"/>
        <color rgb="FFFCFCFF"/>
        <color rgb="FFF8696B"/>
      </colorScale>
    </cfRule>
    <cfRule type="colorScale" priority="1566">
      <colorScale>
        <cfvo type="min"/>
        <cfvo type="max"/>
        <color rgb="FFFCFCFF"/>
        <color rgb="FFF8696B"/>
      </colorScale>
    </cfRule>
  </conditionalFormatting>
  <conditionalFormatting sqref="U41:U43 N40 W41:W43 O41:S43 P43:X43 O44:X44">
    <cfRule type="colorScale" priority="920">
      <colorScale>
        <cfvo type="min"/>
        <cfvo type="max"/>
        <color rgb="FFFCFCFF"/>
        <color rgb="FFF8696B"/>
      </colorScale>
    </cfRule>
    <cfRule type="colorScale" priority="1348">
      <colorScale>
        <cfvo type="min"/>
        <cfvo type="max"/>
        <color rgb="FFFCFCFF"/>
        <color rgb="FFF8696B"/>
      </colorScale>
    </cfRule>
    <cfRule type="colorScale" priority="497">
      <colorScale>
        <cfvo type="min"/>
        <cfvo type="max"/>
        <color rgb="FFFCFCFF"/>
        <color rgb="FFF8696B"/>
      </colorScale>
    </cfRule>
    <cfRule type="colorScale" priority="496">
      <colorScale>
        <cfvo type="min"/>
        <cfvo type="max"/>
        <color rgb="FFFCFCFF"/>
        <color rgb="FFF8696B"/>
      </colorScale>
    </cfRule>
    <cfRule type="colorScale" priority="492">
      <colorScale>
        <cfvo type="min"/>
        <cfvo type="max"/>
        <color rgb="FFFCFCFF"/>
        <color rgb="FFF8696B"/>
      </colorScale>
    </cfRule>
    <cfRule type="colorScale" priority="1352">
      <colorScale>
        <cfvo type="min"/>
        <cfvo type="max"/>
        <color rgb="FFFCFCFF"/>
        <color rgb="FFF8696B"/>
      </colorScale>
    </cfRule>
    <cfRule type="colorScale" priority="1353">
      <colorScale>
        <cfvo type="min"/>
        <cfvo type="max"/>
        <color rgb="FFFCFCFF"/>
        <color rgb="FFF8696B"/>
      </colorScale>
    </cfRule>
    <cfRule type="colorScale" priority="924">
      <colorScale>
        <cfvo type="min"/>
        <cfvo type="max"/>
        <color rgb="FFFCFCFF"/>
        <color rgb="FFF8696B"/>
      </colorScale>
    </cfRule>
    <cfRule type="colorScale" priority="925">
      <colorScale>
        <cfvo type="min"/>
        <cfvo type="max"/>
        <color rgb="FFFCFCFF"/>
        <color rgb="FFF8696B"/>
      </colorScale>
    </cfRule>
  </conditionalFormatting>
  <conditionalFormatting sqref="U34:W36 V33:V34 T33:T36 T36:W36">
    <cfRule type="colorScale" priority="1574">
      <colorScale>
        <cfvo type="min"/>
        <cfvo type="max"/>
        <color rgb="FFF8696B"/>
        <color rgb="FFFCFCFF"/>
      </colorScale>
    </cfRule>
    <cfRule type="colorScale" priority="1144">
      <colorScale>
        <cfvo type="min"/>
        <cfvo type="max"/>
        <color rgb="FFFCFCFF"/>
        <color rgb="FFF8696B"/>
      </colorScale>
    </cfRule>
    <cfRule type="colorScale" priority="1145">
      <colorScale>
        <cfvo type="min"/>
        <cfvo type="max"/>
        <color rgb="FFFCFCFF"/>
        <color rgb="FFF8696B"/>
      </colorScale>
    </cfRule>
    <cfRule type="colorScale" priority="1146">
      <colorScale>
        <cfvo type="min"/>
        <cfvo type="max"/>
        <color rgb="FFF8696B"/>
        <color rgb="FFFCFCFF"/>
      </colorScale>
    </cfRule>
    <cfRule type="colorScale" priority="1573">
      <colorScale>
        <cfvo type="min"/>
        <cfvo type="max"/>
        <color rgb="FFFCFCFF"/>
        <color rgb="FFF8696B"/>
      </colorScale>
    </cfRule>
    <cfRule type="colorScale" priority="1572">
      <colorScale>
        <cfvo type="min"/>
        <cfvo type="max"/>
        <color rgb="FFFCFCFF"/>
        <color rgb="FFF8696B"/>
      </colorScale>
    </cfRule>
    <cfRule type="colorScale" priority="718">
      <colorScale>
        <cfvo type="min"/>
        <cfvo type="max"/>
        <color rgb="FFF8696B"/>
        <color rgb="FFFCFCFF"/>
      </colorScale>
    </cfRule>
    <cfRule type="colorScale" priority="716">
      <colorScale>
        <cfvo type="min"/>
        <cfvo type="max"/>
        <color rgb="FFFCFCFF"/>
        <color rgb="FFF8696B"/>
      </colorScale>
    </cfRule>
    <cfRule type="colorScale" priority="717">
      <colorScale>
        <cfvo type="min"/>
        <cfvo type="max"/>
        <color rgb="FFFCFCFF"/>
        <color rgb="FFF8696B"/>
      </colorScale>
    </cfRule>
  </conditionalFormatting>
  <conditionalFormatting sqref="U42:W44 V41 T41:T44 T44:W44">
    <cfRule type="colorScale" priority="930">
      <colorScale>
        <cfvo type="min"/>
        <cfvo type="max"/>
        <color rgb="FFFCFCFF"/>
        <color rgb="FFF8696B"/>
      </colorScale>
    </cfRule>
    <cfRule type="colorScale" priority="1360">
      <colorScale>
        <cfvo type="min"/>
        <cfvo type="max"/>
        <color rgb="FFF8696B"/>
        <color rgb="FFFCFCFF"/>
      </colorScale>
    </cfRule>
    <cfRule type="colorScale" priority="1359">
      <colorScale>
        <cfvo type="min"/>
        <cfvo type="max"/>
        <color rgb="FFFCFCFF"/>
        <color rgb="FFF8696B"/>
      </colorScale>
    </cfRule>
    <cfRule type="colorScale" priority="1358">
      <colorScale>
        <cfvo type="min"/>
        <cfvo type="max"/>
        <color rgb="FFFCFCFF"/>
        <color rgb="FFF8696B"/>
      </colorScale>
    </cfRule>
    <cfRule type="colorScale" priority="503">
      <colorScale>
        <cfvo type="min"/>
        <cfvo type="max"/>
        <color rgb="FFFCFCFF"/>
        <color rgb="FFF8696B"/>
      </colorScale>
    </cfRule>
    <cfRule type="colorScale" priority="931">
      <colorScale>
        <cfvo type="min"/>
        <cfvo type="max"/>
        <color rgb="FFFCFCFF"/>
        <color rgb="FFF8696B"/>
      </colorScale>
    </cfRule>
    <cfRule type="colorScale" priority="932">
      <colorScale>
        <cfvo type="min"/>
        <cfvo type="max"/>
        <color rgb="FFF8696B"/>
        <color rgb="FFFCFCFF"/>
      </colorScale>
    </cfRule>
    <cfRule type="colorScale" priority="504">
      <colorScale>
        <cfvo type="min"/>
        <cfvo type="max"/>
        <color rgb="FFF8696B"/>
        <color rgb="FFFCFCFF"/>
      </colorScale>
    </cfRule>
    <cfRule type="colorScale" priority="502">
      <colorScale>
        <cfvo type="min"/>
        <cfvo type="max"/>
        <color rgb="FFFCFCFF"/>
        <color rgb="FFF8696B"/>
      </colorScale>
    </cfRule>
  </conditionalFormatting>
  <conditionalFormatting sqref="V30:V32 T30:T32">
    <cfRule type="colorScale" priority="1161">
      <colorScale>
        <cfvo type="min"/>
        <cfvo type="max"/>
        <color rgb="FFF8696B"/>
        <color rgb="FFFCFCFF"/>
      </colorScale>
    </cfRule>
    <cfRule type="colorScale" priority="1162">
      <colorScale>
        <cfvo type="min"/>
        <cfvo type="max"/>
        <color rgb="FFFCFCFF"/>
        <color rgb="FFF8696B"/>
      </colorScale>
    </cfRule>
    <cfRule type="colorScale" priority="1163">
      <colorScale>
        <cfvo type="min"/>
        <cfvo type="max"/>
        <color rgb="FFFCFCFF"/>
        <color rgb="FFF8696B"/>
      </colorScale>
    </cfRule>
    <cfRule type="colorScale" priority="1164">
      <colorScale>
        <cfvo type="min"/>
        <cfvo type="max"/>
        <color rgb="FFF8696B"/>
        <color rgb="FFFCFCFF"/>
      </colorScale>
    </cfRule>
    <cfRule type="colorScale" priority="1591">
      <colorScale>
        <cfvo type="min"/>
        <cfvo type="max"/>
        <color rgb="FFFCFCFF"/>
        <color rgb="FFF8696B"/>
      </colorScale>
    </cfRule>
    <cfRule type="colorScale" priority="1590">
      <colorScale>
        <cfvo type="min"/>
        <cfvo type="max"/>
        <color rgb="FFFCFCFF"/>
        <color rgb="FFF8696B"/>
      </colorScale>
    </cfRule>
    <cfRule type="colorScale" priority="1589">
      <colorScale>
        <cfvo type="min"/>
        <cfvo type="max"/>
        <color rgb="FFF8696B"/>
        <color rgb="FFFCFCFF"/>
      </colorScale>
    </cfRule>
    <cfRule type="colorScale" priority="1160">
      <colorScale>
        <cfvo type="min"/>
        <cfvo type="max"/>
        <color rgb="FFFCFCFF"/>
        <color rgb="FFF8696B"/>
      </colorScale>
    </cfRule>
    <cfRule type="colorScale" priority="1159">
      <colorScale>
        <cfvo type="min"/>
        <cfvo type="max"/>
        <color rgb="FFFCFCFF"/>
        <color rgb="FFF8696B"/>
      </colorScale>
    </cfRule>
    <cfRule type="colorScale" priority="1158">
      <colorScale>
        <cfvo type="min"/>
        <cfvo type="max"/>
        <color rgb="FFF8696B"/>
        <color rgb="FFFCFCFF"/>
      </colorScale>
    </cfRule>
    <cfRule type="colorScale" priority="1592">
      <colorScale>
        <cfvo type="min"/>
        <cfvo type="max"/>
        <color rgb="FFF8696B"/>
        <color rgb="FFFCFCFF"/>
      </colorScale>
    </cfRule>
    <cfRule type="colorScale" priority="1588">
      <colorScale>
        <cfvo type="min"/>
        <cfvo type="max"/>
        <color rgb="FFFCFCFF"/>
        <color rgb="FFF8696B"/>
      </colorScale>
    </cfRule>
    <cfRule type="colorScale" priority="1587">
      <colorScale>
        <cfvo type="min"/>
        <cfvo type="max"/>
        <color rgb="FFFCFCFF"/>
        <color rgb="FFF8696B"/>
      </colorScale>
    </cfRule>
    <cfRule type="colorScale" priority="1157">
      <colorScale>
        <cfvo type="min"/>
        <cfvo type="max"/>
        <color rgb="FFFCFCFF"/>
        <color rgb="FFF8696B"/>
      </colorScale>
    </cfRule>
    <cfRule type="colorScale" priority="1156">
      <colorScale>
        <cfvo type="min"/>
        <cfvo type="max"/>
        <color rgb="FFFCFCFF"/>
        <color rgb="FFF8696B"/>
      </colorScale>
    </cfRule>
    <cfRule type="colorScale" priority="1586">
      <colorScale>
        <cfvo type="min"/>
        <cfvo type="max"/>
        <color rgb="FFF8696B"/>
        <color rgb="FFFCFCFF"/>
      </colorScale>
    </cfRule>
    <cfRule type="colorScale" priority="1585">
      <colorScale>
        <cfvo type="min"/>
        <cfvo type="max"/>
        <color rgb="FFFCFCFF"/>
        <color rgb="FFF8696B"/>
      </colorScale>
    </cfRule>
    <cfRule type="colorScale" priority="1584">
      <colorScale>
        <cfvo type="min"/>
        <cfvo type="max"/>
        <color rgb="FFFCFCFF"/>
        <color rgb="FFF8696B"/>
      </colorScale>
    </cfRule>
    <cfRule type="colorScale" priority="736">
      <colorScale>
        <cfvo type="min"/>
        <cfvo type="max"/>
        <color rgb="FFF8696B"/>
        <color rgb="FFFCFCFF"/>
      </colorScale>
    </cfRule>
    <cfRule type="colorScale" priority="735">
      <colorScale>
        <cfvo type="min"/>
        <cfvo type="max"/>
        <color rgb="FFFCFCFF"/>
        <color rgb="FFF8696B"/>
      </colorScale>
    </cfRule>
    <cfRule type="colorScale" priority="734">
      <colorScale>
        <cfvo type="min"/>
        <cfvo type="max"/>
        <color rgb="FFFCFCFF"/>
        <color rgb="FFF8696B"/>
      </colorScale>
    </cfRule>
    <cfRule type="colorScale" priority="733">
      <colorScale>
        <cfvo type="min"/>
        <cfvo type="max"/>
        <color rgb="FFF8696B"/>
        <color rgb="FFFCFCFF"/>
      </colorScale>
    </cfRule>
    <cfRule type="colorScale" priority="732">
      <colorScale>
        <cfvo type="min"/>
        <cfvo type="max"/>
        <color rgb="FFFCFCFF"/>
        <color rgb="FFF8696B"/>
      </colorScale>
    </cfRule>
    <cfRule type="colorScale" priority="731">
      <colorScale>
        <cfvo type="min"/>
        <cfvo type="max"/>
        <color rgb="FFFCFCFF"/>
        <color rgb="FFF8696B"/>
      </colorScale>
    </cfRule>
    <cfRule type="colorScale" priority="730">
      <colorScale>
        <cfvo type="min"/>
        <cfvo type="max"/>
        <color rgb="FFF8696B"/>
        <color rgb="FFFCFCFF"/>
      </colorScale>
    </cfRule>
    <cfRule type="colorScale" priority="729">
      <colorScale>
        <cfvo type="min"/>
        <cfvo type="max"/>
        <color rgb="FFFCFCFF"/>
        <color rgb="FFF8696B"/>
      </colorScale>
    </cfRule>
    <cfRule type="colorScale" priority="728">
      <colorScale>
        <cfvo type="min"/>
        <cfvo type="max"/>
        <color rgb="FFFCFCFF"/>
        <color rgb="FFF8696B"/>
      </colorScale>
    </cfRule>
  </conditionalFormatting>
  <conditionalFormatting sqref="V33:V36 T33:T36">
    <cfRule type="colorScale" priority="699">
      <colorScale>
        <cfvo type="min"/>
        <cfvo type="max"/>
        <color rgb="FFFCFCFF"/>
        <color rgb="FFF8696B"/>
      </colorScale>
    </cfRule>
    <cfRule type="colorScale" priority="698">
      <colorScale>
        <cfvo type="min"/>
        <cfvo type="max"/>
        <color rgb="FFFCFCFF"/>
        <color rgb="FFF8696B"/>
      </colorScale>
    </cfRule>
    <cfRule type="colorScale" priority="700">
      <colorScale>
        <cfvo type="min"/>
        <cfvo type="max"/>
        <color rgb="FFF8696B"/>
        <color rgb="FFFCFCFF"/>
      </colorScale>
    </cfRule>
    <cfRule type="colorScale" priority="1133">
      <colorScale>
        <cfvo type="min"/>
        <cfvo type="max"/>
        <color rgb="FFF8696B"/>
        <color rgb="FFFCFCFF"/>
      </colorScale>
    </cfRule>
    <cfRule type="colorScale" priority="1132">
      <colorScale>
        <cfvo type="min"/>
        <cfvo type="max"/>
        <color rgb="FFFCFCFF"/>
        <color rgb="FFF8696B"/>
      </colorScale>
    </cfRule>
    <cfRule type="colorScale" priority="1131">
      <colorScale>
        <cfvo type="min"/>
        <cfvo type="max"/>
        <color rgb="FFFCFCFF"/>
        <color rgb="FFF8696B"/>
      </colorScale>
    </cfRule>
    <cfRule type="colorScale" priority="1128">
      <colorScale>
        <cfvo type="min"/>
        <cfvo type="max"/>
        <color rgb="FFF8696B"/>
        <color rgb="FFFCFCFF"/>
      </colorScale>
    </cfRule>
    <cfRule type="colorScale" priority="1127">
      <colorScale>
        <cfvo type="min"/>
        <cfvo type="max"/>
        <color rgb="FFFCFCFF"/>
        <color rgb="FFF8696B"/>
      </colorScale>
    </cfRule>
    <cfRule type="colorScale" priority="1126">
      <colorScale>
        <cfvo type="min"/>
        <cfvo type="max"/>
        <color rgb="FFFCFCFF"/>
        <color rgb="FFF8696B"/>
      </colorScale>
    </cfRule>
    <cfRule type="colorScale" priority="703">
      <colorScale>
        <cfvo type="min"/>
        <cfvo type="max"/>
        <color rgb="FFFCFCFF"/>
        <color rgb="FFF8696B"/>
      </colorScale>
    </cfRule>
    <cfRule type="colorScale" priority="704">
      <colorScale>
        <cfvo type="min"/>
        <cfvo type="max"/>
        <color rgb="FFFCFCFF"/>
        <color rgb="FFF8696B"/>
      </colorScale>
    </cfRule>
    <cfRule type="colorScale" priority="1135">
      <colorScale>
        <cfvo type="min"/>
        <cfvo type="max"/>
        <color rgb="FFFCFCFF"/>
        <color rgb="FFF8696B"/>
      </colorScale>
    </cfRule>
    <cfRule type="colorScale" priority="1565">
      <colorScale>
        <cfvo type="min"/>
        <cfvo type="max"/>
        <color rgb="FFF8696B"/>
        <color rgb="FFFCFCFF"/>
      </colorScale>
    </cfRule>
    <cfRule type="colorScale" priority="1136">
      <colorScale>
        <cfvo type="min"/>
        <cfvo type="max"/>
        <color rgb="FFFCFCFF"/>
        <color rgb="FFF8696B"/>
      </colorScale>
    </cfRule>
    <cfRule type="colorScale" priority="1564">
      <colorScale>
        <cfvo type="min"/>
        <cfvo type="max"/>
        <color rgb="FFFCFCFF"/>
        <color rgb="FFF8696B"/>
      </colorScale>
    </cfRule>
    <cfRule type="colorScale" priority="1563">
      <colorScale>
        <cfvo type="min"/>
        <cfvo type="max"/>
        <color rgb="FFFCFCFF"/>
        <color rgb="FFF8696B"/>
      </colorScale>
    </cfRule>
    <cfRule type="colorScale" priority="1561">
      <colorScale>
        <cfvo type="min"/>
        <cfvo type="max"/>
        <color rgb="FFF8696B"/>
        <color rgb="FFFCFCFF"/>
      </colorScale>
    </cfRule>
    <cfRule type="colorScale" priority="1560">
      <colorScale>
        <cfvo type="min"/>
        <cfvo type="max"/>
        <color rgb="FFFCFCFF"/>
        <color rgb="FFF8696B"/>
      </colorScale>
    </cfRule>
    <cfRule type="colorScale" priority="1559">
      <colorScale>
        <cfvo type="min"/>
        <cfvo type="max"/>
        <color rgb="FFFCFCFF"/>
        <color rgb="FFF8696B"/>
      </colorScale>
    </cfRule>
    <cfRule type="colorScale" priority="1137">
      <colorScale>
        <cfvo type="min"/>
        <cfvo type="max"/>
        <color rgb="FFF8696B"/>
        <color rgb="FFFCFCFF"/>
      </colorScale>
    </cfRule>
    <cfRule type="colorScale" priority="1556">
      <colorScale>
        <cfvo type="min"/>
        <cfvo type="max"/>
        <color rgb="FFF8696B"/>
        <color rgb="FFFCFCFF"/>
      </colorScale>
    </cfRule>
    <cfRule type="colorScale" priority="1555">
      <colorScale>
        <cfvo type="min"/>
        <cfvo type="max"/>
        <color rgb="FFFCFCFF"/>
        <color rgb="FFF8696B"/>
      </colorScale>
    </cfRule>
    <cfRule type="colorScale" priority="1554">
      <colorScale>
        <cfvo type="min"/>
        <cfvo type="max"/>
        <color rgb="FFFCFCFF"/>
        <color rgb="FFF8696B"/>
      </colorScale>
    </cfRule>
    <cfRule type="colorScale" priority="705">
      <colorScale>
        <cfvo type="min"/>
        <cfvo type="max"/>
        <color rgb="FFF8696B"/>
        <color rgb="FFFCFCFF"/>
      </colorScale>
    </cfRule>
    <cfRule type="colorScale" priority="707">
      <colorScale>
        <cfvo type="min"/>
        <cfvo type="max"/>
        <color rgb="FFFCFCFF"/>
        <color rgb="FFF8696B"/>
      </colorScale>
    </cfRule>
    <cfRule type="colorScale" priority="708">
      <colorScale>
        <cfvo type="min"/>
        <cfvo type="max"/>
        <color rgb="FFFCFCFF"/>
        <color rgb="FFF8696B"/>
      </colorScale>
    </cfRule>
    <cfRule type="colorScale" priority="709">
      <colorScale>
        <cfvo type="min"/>
        <cfvo type="max"/>
        <color rgb="FFF8696B"/>
        <color rgb="FFFCFCFF"/>
      </colorScale>
    </cfRule>
  </conditionalFormatting>
  <conditionalFormatting sqref="V38:V42 T38:T42">
    <cfRule type="colorScale" priority="944">
      <colorScale>
        <cfvo type="min"/>
        <cfvo type="max"/>
        <color rgb="FFF8696B"/>
        <color rgb="FFFCFCFF"/>
      </colorScale>
    </cfRule>
    <cfRule type="colorScale" priority="520">
      <colorScale>
        <cfvo type="min"/>
        <cfvo type="max"/>
        <color rgb="FFFCFCFF"/>
        <color rgb="FFF8696B"/>
      </colorScale>
    </cfRule>
    <cfRule type="colorScale" priority="1372">
      <colorScale>
        <cfvo type="min"/>
        <cfvo type="max"/>
        <color rgb="FFF8696B"/>
        <color rgb="FFFCFCFF"/>
      </colorScale>
    </cfRule>
    <cfRule type="colorScale" priority="1378">
      <colorScale>
        <cfvo type="min"/>
        <cfvo type="max"/>
        <color rgb="FFF8696B"/>
        <color rgb="FFFCFCFF"/>
      </colorScale>
    </cfRule>
    <cfRule type="colorScale" priority="945">
      <colorScale>
        <cfvo type="min"/>
        <cfvo type="max"/>
        <color rgb="FFFCFCFF"/>
        <color rgb="FFF8696B"/>
      </colorScale>
    </cfRule>
    <cfRule type="colorScale" priority="1377">
      <colorScale>
        <cfvo type="min"/>
        <cfvo type="max"/>
        <color rgb="FFFCFCFF"/>
        <color rgb="FFF8696B"/>
      </colorScale>
    </cfRule>
    <cfRule type="colorScale" priority="1375">
      <colorScale>
        <cfvo type="min"/>
        <cfvo type="max"/>
        <color rgb="FFF8696B"/>
        <color rgb="FFFCFCFF"/>
      </colorScale>
    </cfRule>
    <cfRule type="colorScale" priority="1371">
      <colorScale>
        <cfvo type="min"/>
        <cfvo type="max"/>
        <color rgb="FFFCFCFF"/>
        <color rgb="FFF8696B"/>
      </colorScale>
    </cfRule>
    <cfRule type="colorScale" priority="1370">
      <colorScale>
        <cfvo type="min"/>
        <cfvo type="max"/>
        <color rgb="FFFCFCFF"/>
        <color rgb="FFF8696B"/>
      </colorScale>
    </cfRule>
    <cfRule type="colorScale" priority="1373">
      <colorScale>
        <cfvo type="min"/>
        <cfvo type="max"/>
        <color rgb="FFFCFCFF"/>
        <color rgb="FFF8696B"/>
      </colorScale>
    </cfRule>
    <cfRule type="colorScale" priority="943">
      <colorScale>
        <cfvo type="min"/>
        <cfvo type="max"/>
        <color rgb="FFFCFCFF"/>
        <color rgb="FFF8696B"/>
      </colorScale>
    </cfRule>
    <cfRule type="colorScale" priority="1374">
      <colorScale>
        <cfvo type="min"/>
        <cfvo type="max"/>
        <color rgb="FFFCFCFF"/>
        <color rgb="FFF8696B"/>
      </colorScale>
    </cfRule>
    <cfRule type="colorScale" priority="950">
      <colorScale>
        <cfvo type="min"/>
        <cfvo type="max"/>
        <color rgb="FFF8696B"/>
        <color rgb="FFFCFCFF"/>
      </colorScale>
    </cfRule>
    <cfRule type="colorScale" priority="522">
      <colorScale>
        <cfvo type="min"/>
        <cfvo type="max"/>
        <color rgb="FFF8696B"/>
        <color rgb="FFFCFCFF"/>
      </colorScale>
    </cfRule>
    <cfRule type="colorScale" priority="521">
      <colorScale>
        <cfvo type="min"/>
        <cfvo type="max"/>
        <color rgb="FFFCFCFF"/>
        <color rgb="FFF8696B"/>
      </colorScale>
    </cfRule>
    <cfRule type="colorScale" priority="946">
      <colorScale>
        <cfvo type="min"/>
        <cfvo type="max"/>
        <color rgb="FFFCFCFF"/>
        <color rgb="FFF8696B"/>
      </colorScale>
    </cfRule>
    <cfRule type="colorScale" priority="519">
      <colorScale>
        <cfvo type="min"/>
        <cfvo type="max"/>
        <color rgb="FFF8696B"/>
        <color rgb="FFFCFCFF"/>
      </colorScale>
    </cfRule>
    <cfRule type="colorScale" priority="1376">
      <colorScale>
        <cfvo type="min"/>
        <cfvo type="max"/>
        <color rgb="FFFCFCFF"/>
        <color rgb="FFF8696B"/>
      </colorScale>
    </cfRule>
    <cfRule type="colorScale" priority="942">
      <colorScale>
        <cfvo type="min"/>
        <cfvo type="max"/>
        <color rgb="FFFCFCFF"/>
        <color rgb="FFF8696B"/>
      </colorScale>
    </cfRule>
    <cfRule type="colorScale" priority="518">
      <colorScale>
        <cfvo type="min"/>
        <cfvo type="max"/>
        <color rgb="FFFCFCFF"/>
        <color rgb="FFF8696B"/>
      </colorScale>
    </cfRule>
    <cfRule type="colorScale" priority="517">
      <colorScale>
        <cfvo type="min"/>
        <cfvo type="max"/>
        <color rgb="FFFCFCFF"/>
        <color rgb="FFF8696B"/>
      </colorScale>
    </cfRule>
    <cfRule type="colorScale" priority="947">
      <colorScale>
        <cfvo type="min"/>
        <cfvo type="max"/>
        <color rgb="FFF8696B"/>
        <color rgb="FFFCFCFF"/>
      </colorScale>
    </cfRule>
    <cfRule type="colorScale" priority="948">
      <colorScale>
        <cfvo type="min"/>
        <cfvo type="max"/>
        <color rgb="FFFCFCFF"/>
        <color rgb="FFF8696B"/>
      </colorScale>
    </cfRule>
    <cfRule type="colorScale" priority="949">
      <colorScale>
        <cfvo type="min"/>
        <cfvo type="max"/>
        <color rgb="FFFCFCFF"/>
        <color rgb="FFF8696B"/>
      </colorScale>
    </cfRule>
    <cfRule type="colorScale" priority="514">
      <colorScale>
        <cfvo type="min"/>
        <cfvo type="max"/>
        <color rgb="FFFCFCFF"/>
        <color rgb="FFF8696B"/>
      </colorScale>
    </cfRule>
    <cfRule type="colorScale" priority="515">
      <colorScale>
        <cfvo type="min"/>
        <cfvo type="max"/>
        <color rgb="FFFCFCFF"/>
        <color rgb="FFF8696B"/>
      </colorScale>
    </cfRule>
    <cfRule type="colorScale" priority="516">
      <colorScale>
        <cfvo type="min"/>
        <cfvo type="max"/>
        <color rgb="FFF8696B"/>
        <color rgb="FFFCFCFF"/>
      </colorScale>
    </cfRule>
  </conditionalFormatting>
  <conditionalFormatting sqref="V41:V44 T41:T44">
    <cfRule type="colorScale" priority="1351">
      <colorScale>
        <cfvo type="min"/>
        <cfvo type="max"/>
        <color rgb="FFF8696B"/>
        <color rgb="FFFCFCFF"/>
      </colorScale>
    </cfRule>
    <cfRule type="colorScale" priority="1350">
      <colorScale>
        <cfvo type="min"/>
        <cfvo type="max"/>
        <color rgb="FFFCFCFF"/>
        <color rgb="FFF8696B"/>
      </colorScale>
    </cfRule>
    <cfRule type="colorScale" priority="1347">
      <colorScale>
        <cfvo type="min"/>
        <cfvo type="max"/>
        <color rgb="FFF8696B"/>
        <color rgb="FFFCFCFF"/>
      </colorScale>
    </cfRule>
    <cfRule type="colorScale" priority="1345">
      <colorScale>
        <cfvo type="min"/>
        <cfvo type="max"/>
        <color rgb="FFFCFCFF"/>
        <color rgb="FFF8696B"/>
      </colorScale>
    </cfRule>
    <cfRule type="colorScale" priority="489">
      <colorScale>
        <cfvo type="min"/>
        <cfvo type="max"/>
        <color rgb="FFFCFCFF"/>
        <color rgb="FFF8696B"/>
      </colorScale>
    </cfRule>
    <cfRule type="colorScale" priority="1346">
      <colorScale>
        <cfvo type="min"/>
        <cfvo type="max"/>
        <color rgb="FFFCFCFF"/>
        <color rgb="FFF8696B"/>
      </colorScale>
    </cfRule>
    <cfRule type="colorScale" priority="490">
      <colorScale>
        <cfvo type="min"/>
        <cfvo type="max"/>
        <color rgb="FFFCFCFF"/>
        <color rgb="FFF8696B"/>
      </colorScale>
    </cfRule>
    <cfRule type="colorScale" priority="484">
      <colorScale>
        <cfvo type="min"/>
        <cfvo type="max"/>
        <color rgb="FFFCFCFF"/>
        <color rgb="FFF8696B"/>
      </colorScale>
    </cfRule>
    <cfRule type="colorScale" priority="491">
      <colorScale>
        <cfvo type="min"/>
        <cfvo type="max"/>
        <color rgb="FFF8696B"/>
        <color rgb="FFFCFCFF"/>
      </colorScale>
    </cfRule>
    <cfRule type="colorScale" priority="1342">
      <colorScale>
        <cfvo type="min"/>
        <cfvo type="max"/>
        <color rgb="FFF8696B"/>
        <color rgb="FFFCFCFF"/>
      </colorScale>
    </cfRule>
    <cfRule type="colorScale" priority="493">
      <colorScale>
        <cfvo type="min"/>
        <cfvo type="max"/>
        <color rgb="FFFCFCFF"/>
        <color rgb="FFF8696B"/>
      </colorScale>
    </cfRule>
    <cfRule type="colorScale" priority="1341">
      <colorScale>
        <cfvo type="min"/>
        <cfvo type="max"/>
        <color rgb="FFFCFCFF"/>
        <color rgb="FFF8696B"/>
      </colorScale>
    </cfRule>
    <cfRule type="colorScale" priority="1340">
      <colorScale>
        <cfvo type="min"/>
        <cfvo type="max"/>
        <color rgb="FFFCFCFF"/>
        <color rgb="FFF8696B"/>
      </colorScale>
    </cfRule>
    <cfRule type="colorScale" priority="494">
      <colorScale>
        <cfvo type="min"/>
        <cfvo type="max"/>
        <color rgb="FFFCFCFF"/>
        <color rgb="FFF8696B"/>
      </colorScale>
    </cfRule>
    <cfRule type="colorScale" priority="495">
      <colorScale>
        <cfvo type="min"/>
        <cfvo type="max"/>
        <color rgb="FFF8696B"/>
        <color rgb="FFFCFCFF"/>
      </colorScale>
    </cfRule>
    <cfRule type="colorScale" priority="486">
      <colorScale>
        <cfvo type="min"/>
        <cfvo type="max"/>
        <color rgb="FFF8696B"/>
        <color rgb="FFFCFCFF"/>
      </colorScale>
    </cfRule>
    <cfRule type="colorScale" priority="912">
      <colorScale>
        <cfvo type="min"/>
        <cfvo type="max"/>
        <color rgb="FFFCFCFF"/>
        <color rgb="FFF8696B"/>
      </colorScale>
    </cfRule>
    <cfRule type="colorScale" priority="1349">
      <colorScale>
        <cfvo type="min"/>
        <cfvo type="max"/>
        <color rgb="FFFCFCFF"/>
        <color rgb="FFF8696B"/>
      </colorScale>
    </cfRule>
    <cfRule type="colorScale" priority="923">
      <colorScale>
        <cfvo type="min"/>
        <cfvo type="max"/>
        <color rgb="FFF8696B"/>
        <color rgb="FFFCFCFF"/>
      </colorScale>
    </cfRule>
    <cfRule type="colorScale" priority="922">
      <colorScale>
        <cfvo type="min"/>
        <cfvo type="max"/>
        <color rgb="FFFCFCFF"/>
        <color rgb="FFF8696B"/>
      </colorScale>
    </cfRule>
    <cfRule type="colorScale" priority="921">
      <colorScale>
        <cfvo type="min"/>
        <cfvo type="max"/>
        <color rgb="FFFCFCFF"/>
        <color rgb="FFF8696B"/>
      </colorScale>
    </cfRule>
    <cfRule type="colorScale" priority="485">
      <colorScale>
        <cfvo type="min"/>
        <cfvo type="max"/>
        <color rgb="FFFCFCFF"/>
        <color rgb="FFF8696B"/>
      </colorScale>
    </cfRule>
    <cfRule type="colorScale" priority="919">
      <colorScale>
        <cfvo type="min"/>
        <cfvo type="max"/>
        <color rgb="FFF8696B"/>
        <color rgb="FFFCFCFF"/>
      </colorScale>
    </cfRule>
    <cfRule type="colorScale" priority="918">
      <colorScale>
        <cfvo type="min"/>
        <cfvo type="max"/>
        <color rgb="FFFCFCFF"/>
        <color rgb="FFF8696B"/>
      </colorScale>
    </cfRule>
    <cfRule type="colorScale" priority="917">
      <colorScale>
        <cfvo type="min"/>
        <cfvo type="max"/>
        <color rgb="FFFCFCFF"/>
        <color rgb="FFF8696B"/>
      </colorScale>
    </cfRule>
    <cfRule type="colorScale" priority="914">
      <colorScale>
        <cfvo type="min"/>
        <cfvo type="max"/>
        <color rgb="FFF8696B"/>
        <color rgb="FFFCFCFF"/>
      </colorScale>
    </cfRule>
    <cfRule type="colorScale" priority="913">
      <colorScale>
        <cfvo type="min"/>
        <cfvo type="max"/>
        <color rgb="FFFCFCFF"/>
        <color rgb="FFF8696B"/>
      </colorScale>
    </cfRule>
  </conditionalFormatting>
  <conditionalFormatting sqref="V29:W30">
    <cfRule type="colorScale" priority="2020">
      <colorScale>
        <cfvo type="min"/>
        <cfvo type="max"/>
        <color rgb="FFFCFCFF"/>
        <color rgb="FFF8696B"/>
      </colorScale>
    </cfRule>
    <cfRule type="colorScale" priority="2019">
      <colorScale>
        <cfvo type="min"/>
        <cfvo type="max"/>
        <color rgb="FFFCFCFF"/>
        <color rgb="FFF8696B"/>
      </colorScale>
    </cfRule>
    <cfRule type="colorScale" priority="2025">
      <colorScale>
        <cfvo type="min"/>
        <cfvo type="max"/>
        <color rgb="FFFCFCFF"/>
        <color rgb="FFF8696B"/>
      </colorScale>
    </cfRule>
    <cfRule type="colorScale" priority="2024">
      <colorScale>
        <cfvo type="min"/>
        <cfvo type="max"/>
        <color rgb="FFFCFCFF"/>
        <color rgb="FFF8696B"/>
      </colorScale>
    </cfRule>
  </conditionalFormatting>
  <conditionalFormatting sqref="V30:W30">
    <cfRule type="colorScale" priority="1906">
      <colorScale>
        <cfvo type="min"/>
        <cfvo type="max"/>
        <color rgb="FFFCFCFF"/>
        <color rgb="FFF8696B"/>
      </colorScale>
    </cfRule>
    <cfRule type="colorScale" priority="1910">
      <colorScale>
        <cfvo type="min"/>
        <cfvo type="max"/>
        <color rgb="FFFCFCFF"/>
        <color rgb="FFF8696B"/>
      </colorScale>
    </cfRule>
    <cfRule type="colorScale" priority="1905">
      <colorScale>
        <cfvo type="min"/>
        <cfvo type="max"/>
        <color rgb="FFFCFCFF"/>
        <color rgb="FFF8696B"/>
      </colorScale>
    </cfRule>
    <cfRule type="colorScale" priority="1911">
      <colorScale>
        <cfvo type="min"/>
        <cfvo type="max"/>
        <color rgb="FFFCFCFF"/>
        <color rgb="FFF8696B"/>
      </colorScale>
    </cfRule>
  </conditionalFormatting>
  <conditionalFormatting sqref="V30:W32">
    <cfRule type="colorScale" priority="1599">
      <colorScale>
        <cfvo type="min"/>
        <cfvo type="max"/>
        <color rgb="FFFCFCFF"/>
        <color rgb="FFF8696B"/>
      </colorScale>
    </cfRule>
    <cfRule type="colorScale" priority="739">
      <colorScale>
        <cfvo type="min"/>
        <cfvo type="max"/>
        <color rgb="FFFCFCFF"/>
        <color rgb="FFF8696B"/>
      </colorScale>
    </cfRule>
    <cfRule type="colorScale" priority="1594">
      <colorScale>
        <cfvo type="min"/>
        <cfvo type="max"/>
        <color rgb="FFFCFCFF"/>
        <color rgb="FFF8696B"/>
      </colorScale>
    </cfRule>
    <cfRule type="colorScale" priority="1595">
      <colorScale>
        <cfvo type="min"/>
        <cfvo type="max"/>
        <color rgb="FFFCFCFF"/>
        <color rgb="FFF8696B"/>
      </colorScale>
    </cfRule>
    <cfRule type="colorScale" priority="1600">
      <colorScale>
        <cfvo type="min"/>
        <cfvo type="max"/>
        <color rgb="FFFCFCFF"/>
        <color rgb="FFF8696B"/>
      </colorScale>
    </cfRule>
    <cfRule type="colorScale" priority="738">
      <colorScale>
        <cfvo type="min"/>
        <cfvo type="max"/>
        <color rgb="FFFCFCFF"/>
        <color rgb="FFF8696B"/>
      </colorScale>
    </cfRule>
    <cfRule type="colorScale" priority="743">
      <colorScale>
        <cfvo type="min"/>
        <cfvo type="max"/>
        <color rgb="FFFCFCFF"/>
        <color rgb="FFF8696B"/>
      </colorScale>
    </cfRule>
    <cfRule type="colorScale" priority="744">
      <colorScale>
        <cfvo type="min"/>
        <cfvo type="max"/>
        <color rgb="FFFCFCFF"/>
        <color rgb="FFF8696B"/>
      </colorScale>
    </cfRule>
    <cfRule type="colorScale" priority="1166">
      <colorScale>
        <cfvo type="min"/>
        <cfvo type="max"/>
        <color rgb="FFFCFCFF"/>
        <color rgb="FFF8696B"/>
      </colorScale>
    </cfRule>
    <cfRule type="colorScale" priority="1167">
      <colorScale>
        <cfvo type="min"/>
        <cfvo type="max"/>
        <color rgb="FFFCFCFF"/>
        <color rgb="FFF8696B"/>
      </colorScale>
    </cfRule>
    <cfRule type="colorScale" priority="1171">
      <colorScale>
        <cfvo type="min"/>
        <cfvo type="max"/>
        <color rgb="FFFCFCFF"/>
        <color rgb="FFF8696B"/>
      </colorScale>
    </cfRule>
    <cfRule type="colorScale" priority="1172">
      <colorScale>
        <cfvo type="min"/>
        <cfvo type="max"/>
        <color rgb="FFFCFCFF"/>
        <color rgb="FFF8696B"/>
      </colorScale>
    </cfRule>
  </conditionalFormatting>
  <conditionalFormatting sqref="V33:W36">
    <cfRule type="colorScale" priority="1570">
      <colorScale>
        <cfvo type="min"/>
        <cfvo type="max"/>
        <color rgb="FFFCFCFF"/>
        <color rgb="FFF8696B"/>
      </colorScale>
    </cfRule>
    <cfRule type="colorScale" priority="1148">
      <colorScale>
        <cfvo type="min"/>
        <cfvo type="max"/>
        <color rgb="FFFCFCFF"/>
        <color rgb="FFF8696B"/>
      </colorScale>
    </cfRule>
    <cfRule type="colorScale" priority="1571">
      <colorScale>
        <cfvo type="min"/>
        <cfvo type="max"/>
        <color rgb="FFFCFCFF"/>
        <color rgb="FFF8696B"/>
      </colorScale>
    </cfRule>
    <cfRule type="colorScale" priority="1575">
      <colorScale>
        <cfvo type="min"/>
        <cfvo type="max"/>
        <color rgb="FFFCFCFF"/>
        <color rgb="FFF8696B"/>
      </colorScale>
    </cfRule>
    <cfRule type="colorScale" priority="1576">
      <colorScale>
        <cfvo type="min"/>
        <cfvo type="max"/>
        <color rgb="FFFCFCFF"/>
        <color rgb="FFF8696B"/>
      </colorScale>
    </cfRule>
    <cfRule type="colorScale" priority="714">
      <colorScale>
        <cfvo type="min"/>
        <cfvo type="max"/>
        <color rgb="FFFCFCFF"/>
        <color rgb="FFF8696B"/>
      </colorScale>
    </cfRule>
    <cfRule type="colorScale" priority="1142">
      <colorScale>
        <cfvo type="min"/>
        <cfvo type="max"/>
        <color rgb="FFFCFCFF"/>
        <color rgb="FFF8696B"/>
      </colorScale>
    </cfRule>
    <cfRule type="colorScale" priority="1143">
      <colorScale>
        <cfvo type="min"/>
        <cfvo type="max"/>
        <color rgb="FFFCFCFF"/>
        <color rgb="FFF8696B"/>
      </colorScale>
    </cfRule>
    <cfRule type="colorScale" priority="715">
      <colorScale>
        <cfvo type="min"/>
        <cfvo type="max"/>
        <color rgb="FFFCFCFF"/>
        <color rgb="FFF8696B"/>
      </colorScale>
    </cfRule>
    <cfRule type="colorScale" priority="719">
      <colorScale>
        <cfvo type="min"/>
        <cfvo type="max"/>
        <color rgb="FFFCFCFF"/>
        <color rgb="FFF8696B"/>
      </colorScale>
    </cfRule>
    <cfRule type="colorScale" priority="720">
      <colorScale>
        <cfvo type="min"/>
        <cfvo type="max"/>
        <color rgb="FFFCFCFF"/>
        <color rgb="FFF8696B"/>
      </colorScale>
    </cfRule>
    <cfRule type="colorScale" priority="1147">
      <colorScale>
        <cfvo type="min"/>
        <cfvo type="max"/>
        <color rgb="FFFCFCFF"/>
        <color rgb="FFF8696B"/>
      </colorScale>
    </cfRule>
  </conditionalFormatting>
  <conditionalFormatting sqref="V38:W42">
    <cfRule type="colorScale" priority="1385">
      <colorScale>
        <cfvo type="min"/>
        <cfvo type="max"/>
        <color rgb="FFFCFCFF"/>
        <color rgb="FFF8696B"/>
      </colorScale>
    </cfRule>
    <cfRule type="colorScale" priority="1381">
      <colorScale>
        <cfvo type="min"/>
        <cfvo type="max"/>
        <color rgb="FFFCFCFF"/>
        <color rgb="FFF8696B"/>
      </colorScale>
    </cfRule>
    <cfRule type="colorScale" priority="1380">
      <colorScale>
        <cfvo type="min"/>
        <cfvo type="max"/>
        <color rgb="FFFCFCFF"/>
        <color rgb="FFF8696B"/>
      </colorScale>
    </cfRule>
    <cfRule type="colorScale" priority="524">
      <colorScale>
        <cfvo type="min"/>
        <cfvo type="max"/>
        <color rgb="FFFCFCFF"/>
        <color rgb="FFF8696B"/>
      </colorScale>
    </cfRule>
    <cfRule type="colorScale" priority="529">
      <colorScale>
        <cfvo type="min"/>
        <cfvo type="max"/>
        <color rgb="FFFCFCFF"/>
        <color rgb="FFF8696B"/>
      </colorScale>
    </cfRule>
    <cfRule type="colorScale" priority="530">
      <colorScale>
        <cfvo type="min"/>
        <cfvo type="max"/>
        <color rgb="FFFCFCFF"/>
        <color rgb="FFF8696B"/>
      </colorScale>
    </cfRule>
    <cfRule type="colorScale" priority="958">
      <colorScale>
        <cfvo type="min"/>
        <cfvo type="max"/>
        <color rgb="FFFCFCFF"/>
        <color rgb="FFF8696B"/>
      </colorScale>
    </cfRule>
    <cfRule type="colorScale" priority="957">
      <colorScale>
        <cfvo type="min"/>
        <cfvo type="max"/>
        <color rgb="FFFCFCFF"/>
        <color rgb="FFF8696B"/>
      </colorScale>
    </cfRule>
    <cfRule type="colorScale" priority="953">
      <colorScale>
        <cfvo type="min"/>
        <cfvo type="max"/>
        <color rgb="FFFCFCFF"/>
        <color rgb="FFF8696B"/>
      </colorScale>
    </cfRule>
    <cfRule type="colorScale" priority="952">
      <colorScale>
        <cfvo type="min"/>
        <cfvo type="max"/>
        <color rgb="FFFCFCFF"/>
        <color rgb="FFF8696B"/>
      </colorScale>
    </cfRule>
    <cfRule type="colorScale" priority="1386">
      <colorScale>
        <cfvo type="min"/>
        <cfvo type="max"/>
        <color rgb="FFFCFCFF"/>
        <color rgb="FFF8696B"/>
      </colorScale>
    </cfRule>
    <cfRule type="colorScale" priority="525">
      <colorScale>
        <cfvo type="min"/>
        <cfvo type="max"/>
        <color rgb="FFFCFCFF"/>
        <color rgb="FFF8696B"/>
      </colorScale>
    </cfRule>
  </conditionalFormatting>
  <conditionalFormatting sqref="V41:W44">
    <cfRule type="colorScale" priority="506">
      <colorScale>
        <cfvo type="min"/>
        <cfvo type="max"/>
        <color rgb="FFFCFCFF"/>
        <color rgb="FFF8696B"/>
      </colorScale>
    </cfRule>
    <cfRule type="colorScale" priority="1362">
      <colorScale>
        <cfvo type="min"/>
        <cfvo type="max"/>
        <color rgb="FFFCFCFF"/>
        <color rgb="FFF8696B"/>
      </colorScale>
    </cfRule>
    <cfRule type="colorScale" priority="1361">
      <colorScale>
        <cfvo type="min"/>
        <cfvo type="max"/>
        <color rgb="FFFCFCFF"/>
        <color rgb="FFF8696B"/>
      </colorScale>
    </cfRule>
    <cfRule type="colorScale" priority="1357">
      <colorScale>
        <cfvo type="min"/>
        <cfvo type="max"/>
        <color rgb="FFFCFCFF"/>
        <color rgb="FFF8696B"/>
      </colorScale>
    </cfRule>
    <cfRule type="colorScale" priority="1356">
      <colorScale>
        <cfvo type="min"/>
        <cfvo type="max"/>
        <color rgb="FFFCFCFF"/>
        <color rgb="FFF8696B"/>
      </colorScale>
    </cfRule>
    <cfRule type="colorScale" priority="500">
      <colorScale>
        <cfvo type="min"/>
        <cfvo type="max"/>
        <color rgb="FFFCFCFF"/>
        <color rgb="FFF8696B"/>
      </colorScale>
    </cfRule>
    <cfRule type="colorScale" priority="501">
      <colorScale>
        <cfvo type="min"/>
        <cfvo type="max"/>
        <color rgb="FFFCFCFF"/>
        <color rgb="FFF8696B"/>
      </colorScale>
    </cfRule>
    <cfRule type="colorScale" priority="505">
      <colorScale>
        <cfvo type="min"/>
        <cfvo type="max"/>
        <color rgb="FFFCFCFF"/>
        <color rgb="FFF8696B"/>
      </colorScale>
    </cfRule>
    <cfRule type="colorScale" priority="934">
      <colorScale>
        <cfvo type="min"/>
        <cfvo type="max"/>
        <color rgb="FFFCFCFF"/>
        <color rgb="FFF8696B"/>
      </colorScale>
    </cfRule>
    <cfRule type="colorScale" priority="933">
      <colorScale>
        <cfvo type="min"/>
        <cfvo type="max"/>
        <color rgb="FFFCFCFF"/>
        <color rgb="FFF8696B"/>
      </colorScale>
    </cfRule>
    <cfRule type="colorScale" priority="929">
      <colorScale>
        <cfvo type="min"/>
        <cfvo type="max"/>
        <color rgb="FFFCFCFF"/>
        <color rgb="FFF8696B"/>
      </colorScale>
    </cfRule>
    <cfRule type="colorScale" priority="928">
      <colorScale>
        <cfvo type="min"/>
        <cfvo type="max"/>
        <color rgb="FFFCFCFF"/>
        <color rgb="FFF8696B"/>
      </colorScale>
    </cfRule>
  </conditionalFormatting>
  <conditionalFormatting sqref="X29:X30">
    <cfRule type="colorScale" priority="1966">
      <colorScale>
        <cfvo type="min"/>
        <cfvo type="max"/>
        <color rgb="FFFCFCFF"/>
        <color rgb="FFF8696B"/>
      </colorScale>
    </cfRule>
    <cfRule type="colorScale" priority="1967">
      <colorScale>
        <cfvo type="min"/>
        <cfvo type="max"/>
        <color rgb="FFF8696B"/>
        <color rgb="FFFCFCFF"/>
      </colorScale>
    </cfRule>
    <cfRule type="colorScale" priority="1968">
      <colorScale>
        <cfvo type="min"/>
        <cfvo type="max"/>
        <color rgb="FFFCFCFF"/>
        <color rgb="FFF8696B"/>
      </colorScale>
    </cfRule>
    <cfRule type="colorScale" priority="1965">
      <colorScale>
        <cfvo type="min"/>
        <cfvo type="max"/>
        <color rgb="FFFCFCFF"/>
        <color rgb="FFF8696B"/>
      </colorScale>
    </cfRule>
    <cfRule type="colorScale" priority="1964">
      <colorScale>
        <cfvo type="min"/>
        <cfvo type="max"/>
        <color rgb="FFF8696B"/>
        <color rgb="FFFCFCFF"/>
      </colorScale>
    </cfRule>
    <cfRule type="colorScale" priority="1963">
      <colorScale>
        <cfvo type="min"/>
        <cfvo type="max"/>
        <color rgb="FFFCFCFF"/>
        <color rgb="FFF8696B"/>
      </colorScale>
    </cfRule>
    <cfRule type="colorScale" priority="1962">
      <colorScale>
        <cfvo type="min"/>
        <cfvo type="max"/>
        <color rgb="FFFCFCFF"/>
        <color rgb="FFF8696B"/>
      </colorScale>
    </cfRule>
    <cfRule type="colorScale" priority="1930">
      <colorScale>
        <cfvo type="min"/>
        <cfvo type="max"/>
        <color rgb="FFFCFCFF"/>
        <color rgb="FFF8696B"/>
      </colorScale>
    </cfRule>
    <cfRule type="colorScale" priority="1931">
      <colorScale>
        <cfvo type="min"/>
        <cfvo type="max"/>
        <color rgb="FFFCFCFF"/>
        <color rgb="FFF8696B"/>
      </colorScale>
    </cfRule>
    <cfRule type="colorScale" priority="1932">
      <colorScale>
        <cfvo type="min"/>
        <cfvo type="max"/>
        <color rgb="FFFCFCFF"/>
        <color rgb="FFF8696B"/>
      </colorScale>
    </cfRule>
    <cfRule type="colorScale" priority="1933">
      <colorScale>
        <cfvo type="min"/>
        <cfvo type="max"/>
        <color rgb="FFFCFCFF"/>
        <color rgb="FFF8696B"/>
      </colorScale>
    </cfRule>
    <cfRule type="colorScale" priority="1969">
      <colorScale>
        <cfvo type="min"/>
        <cfvo type="max"/>
        <color rgb="FFFCFCFF"/>
        <color rgb="FFF8696B"/>
      </colorScale>
    </cfRule>
    <cfRule type="colorScale" priority="1970">
      <colorScale>
        <cfvo type="min"/>
        <cfvo type="max"/>
        <color rgb="FFF8696B"/>
        <color rgb="FFFCFCFF"/>
      </colorScale>
    </cfRule>
    <cfRule type="colorScale" priority="1934">
      <colorScale>
        <cfvo type="min"/>
        <cfvo type="max"/>
        <color rgb="FFF8696B"/>
        <color rgb="FFFCFCFF"/>
      </colorScale>
    </cfRule>
    <cfRule type="colorScale" priority="1935">
      <colorScale>
        <cfvo type="min"/>
        <cfvo type="max"/>
        <color rgb="FFFCFCFF"/>
        <color rgb="FFF8696B"/>
      </colorScale>
    </cfRule>
    <cfRule type="colorScale" priority="1953">
      <colorScale>
        <cfvo type="min"/>
        <cfvo type="max"/>
        <color rgb="FFFCFCFF"/>
        <color rgb="FFF8696B"/>
      </colorScale>
    </cfRule>
    <cfRule type="colorScale" priority="1936">
      <colorScale>
        <cfvo type="min"/>
        <cfvo type="max"/>
        <color rgb="FFFCFCFF"/>
        <color rgb="FFF8696B"/>
      </colorScale>
    </cfRule>
    <cfRule type="colorScale" priority="1971">
      <colorScale>
        <cfvo type="min"/>
        <cfvo type="max"/>
        <color rgb="FFFCFCFF"/>
        <color rgb="FFF8696B"/>
      </colorScale>
    </cfRule>
    <cfRule type="colorScale" priority="1972">
      <colorScale>
        <cfvo type="min"/>
        <cfvo type="max"/>
        <color rgb="FFFCFCFF"/>
        <color rgb="FFF8696B"/>
      </colorScale>
    </cfRule>
    <cfRule type="colorScale" priority="1973">
      <colorScale>
        <cfvo type="min"/>
        <cfvo type="max"/>
        <color rgb="FFFCFCFF"/>
        <color rgb="FFF8696B"/>
      </colorScale>
    </cfRule>
    <cfRule type="colorScale" priority="1952">
      <colorScale>
        <cfvo type="min"/>
        <cfvo type="max"/>
        <color rgb="FFFCFCFF"/>
        <color rgb="FFF8696B"/>
      </colorScale>
    </cfRule>
    <cfRule type="colorScale" priority="1927">
      <colorScale>
        <cfvo type="min"/>
        <cfvo type="max"/>
        <color rgb="FFF8696B"/>
        <color rgb="FFFCFCFF"/>
      </colorScale>
    </cfRule>
    <cfRule type="colorScale" priority="1961">
      <colorScale>
        <cfvo type="min"/>
        <cfvo type="max"/>
        <color rgb="FFFCFCFF"/>
        <color rgb="FFF8696B"/>
      </colorScale>
    </cfRule>
    <cfRule type="colorScale" priority="1960">
      <colorScale>
        <cfvo type="min"/>
        <cfvo type="max"/>
        <color rgb="FFFCFCFF"/>
        <color rgb="FFF8696B"/>
      </colorScale>
    </cfRule>
    <cfRule type="colorScale" priority="1959">
      <colorScale>
        <cfvo type="min"/>
        <cfvo type="max"/>
        <color rgb="FFFCFCFF"/>
        <color rgb="FFF8696B"/>
      </colorScale>
    </cfRule>
    <cfRule type="colorScale" priority="1974">
      <colorScale>
        <cfvo type="min"/>
        <cfvo type="max"/>
        <color rgb="FFFCFCFF"/>
        <color rgb="FFF8696B"/>
      </colorScale>
    </cfRule>
    <cfRule type="colorScale" priority="1975">
      <colorScale>
        <cfvo type="min"/>
        <cfvo type="max"/>
        <color rgb="FFF8696B"/>
        <color rgb="FFFCFCFF"/>
      </colorScale>
    </cfRule>
    <cfRule type="colorScale" priority="1976">
      <colorScale>
        <cfvo type="min"/>
        <cfvo type="max"/>
        <color rgb="FFFCFCFF"/>
        <color rgb="FFF8696B"/>
      </colorScale>
    </cfRule>
    <cfRule type="colorScale" priority="1977">
      <colorScale>
        <cfvo type="min"/>
        <cfvo type="max"/>
        <color rgb="FFFCFCFF"/>
        <color rgb="FFF8696B"/>
      </colorScale>
    </cfRule>
    <cfRule type="colorScale" priority="1978">
      <colorScale>
        <cfvo type="min"/>
        <cfvo type="max"/>
        <color rgb="FFF8696B"/>
        <color rgb="FFFCFCFF"/>
      </colorScale>
    </cfRule>
    <cfRule type="colorScale" priority="1979">
      <colorScale>
        <cfvo type="min"/>
        <cfvo type="max"/>
        <color rgb="FFFCFCFF"/>
        <color rgb="FFF8696B"/>
      </colorScale>
    </cfRule>
    <cfRule type="colorScale" priority="1929">
      <colorScale>
        <cfvo type="min"/>
        <cfvo type="max"/>
        <color rgb="FFFCFCFF"/>
        <color rgb="FFF8696B"/>
      </colorScale>
    </cfRule>
    <cfRule type="colorScale" priority="1928">
      <colorScale>
        <cfvo type="min"/>
        <cfvo type="max"/>
        <color rgb="FFFCFCFF"/>
        <color rgb="FFF8696B"/>
      </colorScale>
    </cfRule>
    <cfRule type="colorScale" priority="1980">
      <colorScale>
        <cfvo type="min"/>
        <cfvo type="max"/>
        <color rgb="FFFCFCFF"/>
        <color rgb="FFF8696B"/>
      </colorScale>
    </cfRule>
    <cfRule type="colorScale" priority="1981">
      <colorScale>
        <cfvo type="min"/>
        <cfvo type="max"/>
        <color rgb="FFF8696B"/>
        <color rgb="FFFCFCFF"/>
      </colorScale>
    </cfRule>
    <cfRule type="colorScale" priority="1982">
      <colorScale>
        <cfvo type="min"/>
        <cfvo type="max"/>
        <color rgb="FFFCFCFF"/>
        <color rgb="FFF8696B"/>
      </colorScale>
    </cfRule>
    <cfRule type="colorScale" priority="1925">
      <colorScale>
        <cfvo type="min"/>
        <cfvo type="max"/>
        <color rgb="FFFCFCFF"/>
        <color rgb="FFF8696B"/>
      </colorScale>
    </cfRule>
    <cfRule type="colorScale" priority="1926">
      <colorScale>
        <cfvo type="min"/>
        <cfvo type="max"/>
        <color rgb="FFFCFCFF"/>
        <color rgb="FFF8696B"/>
      </colorScale>
    </cfRule>
    <cfRule type="colorScale" priority="1983">
      <colorScale>
        <cfvo type="min"/>
        <cfvo type="max"/>
        <color rgb="FFFCFCFF"/>
        <color rgb="FFF8696B"/>
      </colorScale>
    </cfRule>
    <cfRule type="colorScale" priority="1984">
      <colorScale>
        <cfvo type="min"/>
        <cfvo type="max"/>
        <color rgb="FFF8696B"/>
        <color rgb="FFFCFCFF"/>
      </colorScale>
    </cfRule>
    <cfRule type="colorScale" priority="1985">
      <colorScale>
        <cfvo type="min"/>
        <cfvo type="max"/>
        <color rgb="FFFCFCFF"/>
        <color rgb="FFF8696B"/>
      </colorScale>
    </cfRule>
    <cfRule type="colorScale" priority="1986">
      <colorScale>
        <cfvo type="min"/>
        <cfvo type="max"/>
        <color rgb="FFFCFCFF"/>
        <color rgb="FFF8696B"/>
      </colorScale>
    </cfRule>
    <cfRule type="colorScale" priority="1987">
      <colorScale>
        <cfvo type="min"/>
        <cfvo type="max"/>
        <color rgb="FFFCFCFF"/>
        <color rgb="FFF8696B"/>
      </colorScale>
    </cfRule>
    <cfRule type="colorScale" priority="1988">
      <colorScale>
        <cfvo type="min"/>
        <cfvo type="max"/>
        <color rgb="FFFCFCFF"/>
        <color rgb="FFF8696B"/>
      </colorScale>
    </cfRule>
    <cfRule type="colorScale" priority="1989">
      <colorScale>
        <cfvo type="min"/>
        <cfvo type="max"/>
        <color rgb="FFFCFCFF"/>
        <color rgb="FFF8696B"/>
      </colorScale>
    </cfRule>
    <cfRule type="colorScale" priority="1990">
      <colorScale>
        <cfvo type="min"/>
        <cfvo type="max"/>
        <color rgb="FFFCFCFF"/>
        <color rgb="FFF8696B"/>
      </colorScale>
    </cfRule>
    <cfRule type="colorScale" priority="1991">
      <colorScale>
        <cfvo type="min"/>
        <cfvo type="max"/>
        <color rgb="FFF8696B"/>
        <color rgb="FFFCFCFF"/>
      </colorScale>
    </cfRule>
    <cfRule type="colorScale" priority="1992">
      <colorScale>
        <cfvo type="min"/>
        <cfvo type="max"/>
        <color rgb="FFFCFCFF"/>
        <color rgb="FFF8696B"/>
      </colorScale>
    </cfRule>
    <cfRule type="colorScale" priority="1993">
      <colorScale>
        <cfvo type="min"/>
        <cfvo type="max"/>
        <color rgb="FFFCFCFF"/>
        <color rgb="FFF8696B"/>
      </colorScale>
    </cfRule>
    <cfRule type="colorScale" priority="1994">
      <colorScale>
        <cfvo type="min"/>
        <cfvo type="max"/>
        <color rgb="FFFCFCFF"/>
        <color rgb="FFF8696B"/>
      </colorScale>
    </cfRule>
    <cfRule type="colorScale" priority="1951">
      <colorScale>
        <cfvo type="min"/>
        <cfvo type="max"/>
        <color rgb="FFF8696B"/>
        <color rgb="FFFCFCFF"/>
      </colorScale>
    </cfRule>
    <cfRule type="colorScale" priority="1950">
      <colorScale>
        <cfvo type="min"/>
        <cfvo type="max"/>
        <color rgb="FFFCFCFF"/>
        <color rgb="FFF8696B"/>
      </colorScale>
    </cfRule>
    <cfRule type="colorScale" priority="1949">
      <colorScale>
        <cfvo type="min"/>
        <cfvo type="max"/>
        <color rgb="FFFCFCFF"/>
        <color rgb="FFF8696B"/>
      </colorScale>
    </cfRule>
    <cfRule type="colorScale" priority="1948">
      <colorScale>
        <cfvo type="min"/>
        <cfvo type="max"/>
        <color rgb="FFF8696B"/>
        <color rgb="FFFCFCFF"/>
      </colorScale>
    </cfRule>
    <cfRule type="colorScale" priority="1995">
      <colorScale>
        <cfvo type="min"/>
        <cfvo type="max"/>
        <color rgb="FFFCFCFF"/>
        <color rgb="FFF8696B"/>
      </colorScale>
    </cfRule>
    <cfRule type="colorScale" priority="1937">
      <colorScale>
        <cfvo type="min"/>
        <cfvo type="max"/>
        <color rgb="FFF8696B"/>
        <color rgb="FFFCFCFF"/>
      </colorScale>
    </cfRule>
    <cfRule type="colorScale" priority="1938">
      <colorScale>
        <cfvo type="min"/>
        <cfvo type="max"/>
        <color rgb="FFFCFCFF"/>
        <color rgb="FFF8696B"/>
      </colorScale>
    </cfRule>
    <cfRule type="colorScale" priority="1996">
      <colorScale>
        <cfvo type="min"/>
        <cfvo type="max"/>
        <color rgb="FFFCFCFF"/>
        <color rgb="FFF8696B"/>
      </colorScale>
    </cfRule>
    <cfRule type="colorScale" priority="1939">
      <colorScale>
        <cfvo type="min"/>
        <cfvo type="max"/>
        <color rgb="FFFCFCFF"/>
        <color rgb="FFF8696B"/>
      </colorScale>
    </cfRule>
    <cfRule type="colorScale" priority="1940">
      <colorScale>
        <cfvo type="min"/>
        <cfvo type="max"/>
        <color rgb="FFF8696B"/>
        <color rgb="FFFCFCFF"/>
      </colorScale>
    </cfRule>
    <cfRule type="colorScale" priority="1941">
      <colorScale>
        <cfvo type="min"/>
        <cfvo type="max"/>
        <color rgb="FFFCFCFF"/>
        <color rgb="FFF8696B"/>
      </colorScale>
    </cfRule>
    <cfRule type="colorScale" priority="1942">
      <colorScale>
        <cfvo type="min"/>
        <cfvo type="max"/>
        <color rgb="FFFCFCFF"/>
        <color rgb="FFF8696B"/>
      </colorScale>
    </cfRule>
    <cfRule type="colorScale" priority="1943">
      <colorScale>
        <cfvo type="min"/>
        <cfvo type="max"/>
        <color rgb="FFFCFCFF"/>
        <color rgb="FFF8696B"/>
      </colorScale>
    </cfRule>
    <cfRule type="colorScale" priority="1944">
      <colorScale>
        <cfvo type="min"/>
        <cfvo type="max"/>
        <color rgb="FFFCFCFF"/>
        <color rgb="FFF8696B"/>
      </colorScale>
    </cfRule>
    <cfRule type="colorScale" priority="1997">
      <colorScale>
        <cfvo type="min"/>
        <cfvo type="max"/>
        <color rgb="FFF8696B"/>
        <color rgb="FFFCFCFF"/>
      </colorScale>
    </cfRule>
    <cfRule type="colorScale" priority="1958">
      <colorScale>
        <cfvo type="min"/>
        <cfvo type="max"/>
        <color rgb="FFFCFCFF"/>
        <color rgb="FFF8696B"/>
      </colorScale>
    </cfRule>
    <cfRule type="colorScale" priority="1998">
      <colorScale>
        <cfvo type="min"/>
        <cfvo type="max"/>
        <color rgb="FFFCFCFF"/>
        <color rgb="FFF8696B"/>
      </colorScale>
    </cfRule>
    <cfRule type="colorScale" priority="1999">
      <colorScale>
        <cfvo type="min"/>
        <cfvo type="max"/>
        <color rgb="FFFCFCFF"/>
        <color rgb="FFF8696B"/>
      </colorScale>
    </cfRule>
    <cfRule type="colorScale" priority="2000">
      <colorScale>
        <cfvo type="min"/>
        <cfvo type="max"/>
        <color rgb="FFFCFCFF"/>
        <color rgb="FFF8696B"/>
      </colorScale>
    </cfRule>
    <cfRule type="colorScale" priority="2001">
      <colorScale>
        <cfvo type="min"/>
        <cfvo type="max"/>
        <color rgb="FFFCFCFF"/>
        <color rgb="FFF8696B"/>
      </colorScale>
    </cfRule>
    <cfRule type="colorScale" priority="2002">
      <colorScale>
        <cfvo type="min"/>
        <cfvo type="max"/>
        <color rgb="FFF8696B"/>
        <color rgb="FFFCFCFF"/>
      </colorScale>
    </cfRule>
    <cfRule type="colorScale" priority="1945">
      <colorScale>
        <cfvo type="min"/>
        <cfvo type="max"/>
        <color rgb="FFF8696B"/>
        <color rgb="FFFCFCFF"/>
      </colorScale>
    </cfRule>
    <cfRule type="colorScale" priority="1946">
      <colorScale>
        <cfvo type="min"/>
        <cfvo type="max"/>
        <color rgb="FFFCFCFF"/>
        <color rgb="FFF8696B"/>
      </colorScale>
    </cfRule>
    <cfRule type="colorScale" priority="1947">
      <colorScale>
        <cfvo type="min"/>
        <cfvo type="max"/>
        <color rgb="FFFCFCFF"/>
        <color rgb="FFF8696B"/>
      </colorScale>
    </cfRule>
    <cfRule type="colorScale" priority="1957">
      <colorScale>
        <cfvo type="min"/>
        <cfvo type="max"/>
        <color rgb="FFF8696B"/>
        <color rgb="FFFCFCFF"/>
      </colorScale>
    </cfRule>
    <cfRule type="colorScale" priority="1956">
      <colorScale>
        <cfvo type="min"/>
        <cfvo type="max"/>
        <color rgb="FFFCFCFF"/>
        <color rgb="FFF8696B"/>
      </colorScale>
    </cfRule>
    <cfRule type="colorScale" priority="1955">
      <colorScale>
        <cfvo type="min"/>
        <cfvo type="max"/>
        <color rgb="FFFCFCFF"/>
        <color rgb="FFF8696B"/>
      </colorScale>
    </cfRule>
    <cfRule type="colorScale" priority="1954">
      <colorScale>
        <cfvo type="min"/>
        <cfvo type="max"/>
        <color rgb="FFF8696B"/>
        <color rgb="FFFCFCFF"/>
      </colorScale>
    </cfRule>
  </conditionalFormatting>
  <conditionalFormatting sqref="X30">
    <cfRule type="colorScale" priority="1818">
      <colorScale>
        <cfvo type="min"/>
        <cfvo type="max"/>
        <color rgb="FFFCFCFF"/>
        <color rgb="FFF8696B"/>
      </colorScale>
    </cfRule>
    <cfRule type="colorScale" priority="1863">
      <colorScale>
        <cfvo type="min"/>
        <cfvo type="max"/>
        <color rgb="FFFCFCFF"/>
        <color rgb="FFF8696B"/>
      </colorScale>
    </cfRule>
    <cfRule type="colorScale" priority="1811">
      <colorScale>
        <cfvo type="min"/>
        <cfvo type="max"/>
        <color rgb="FFFCFCFF"/>
        <color rgb="FFF8696B"/>
      </colorScale>
    </cfRule>
    <cfRule type="colorScale" priority="1812">
      <colorScale>
        <cfvo type="min"/>
        <cfvo type="max"/>
        <color rgb="FFFCFCFF"/>
        <color rgb="FFF8696B"/>
      </colorScale>
    </cfRule>
    <cfRule type="colorScale" priority="1813">
      <colorScale>
        <cfvo type="min"/>
        <cfvo type="max"/>
        <color rgb="FFF8696B"/>
        <color rgb="FFFCFCFF"/>
      </colorScale>
    </cfRule>
    <cfRule type="colorScale" priority="1814">
      <colorScale>
        <cfvo type="min"/>
        <cfvo type="max"/>
        <color rgb="FFFCFCFF"/>
        <color rgb="FFF8696B"/>
      </colorScale>
    </cfRule>
    <cfRule type="colorScale" priority="1859">
      <colorScale>
        <cfvo type="min"/>
        <cfvo type="max"/>
        <color rgb="FFFCFCFF"/>
        <color rgb="FFF8696B"/>
      </colorScale>
    </cfRule>
    <cfRule type="colorScale" priority="1888">
      <colorScale>
        <cfvo type="min"/>
        <cfvo type="max"/>
        <color rgb="FFF8696B"/>
        <color rgb="FFFCFCFF"/>
      </colorScale>
    </cfRule>
    <cfRule type="colorScale" priority="1887">
      <colorScale>
        <cfvo type="min"/>
        <cfvo type="max"/>
        <color rgb="FFFCFCFF"/>
        <color rgb="FFF8696B"/>
      </colorScale>
    </cfRule>
    <cfRule type="colorScale" priority="1858">
      <colorScale>
        <cfvo type="min"/>
        <cfvo type="max"/>
        <color rgb="FFFCFCFF"/>
        <color rgb="FFF8696B"/>
      </colorScale>
    </cfRule>
    <cfRule type="colorScale" priority="1857">
      <colorScale>
        <cfvo type="min"/>
        <cfvo type="max"/>
        <color rgb="FFFCFCFF"/>
        <color rgb="FFF8696B"/>
      </colorScale>
    </cfRule>
    <cfRule type="colorScale" priority="1856">
      <colorScale>
        <cfvo type="min"/>
        <cfvo type="max"/>
        <color rgb="FFF8696B"/>
        <color rgb="FFFCFCFF"/>
      </colorScale>
    </cfRule>
    <cfRule type="colorScale" priority="1855">
      <colorScale>
        <cfvo type="min"/>
        <cfvo type="max"/>
        <color rgb="FFFCFCFF"/>
        <color rgb="FFF8696B"/>
      </colorScale>
    </cfRule>
    <cfRule type="colorScale" priority="1854">
      <colorScale>
        <cfvo type="min"/>
        <cfvo type="max"/>
        <color rgb="FFFCFCFF"/>
        <color rgb="FFF8696B"/>
      </colorScale>
    </cfRule>
    <cfRule type="colorScale" priority="1853">
      <colorScale>
        <cfvo type="min"/>
        <cfvo type="max"/>
        <color rgb="FFF8696B"/>
        <color rgb="FFFCFCFF"/>
      </colorScale>
    </cfRule>
    <cfRule type="colorScale" priority="1852">
      <colorScale>
        <cfvo type="min"/>
        <cfvo type="max"/>
        <color rgb="FFFCFCFF"/>
        <color rgb="FFF8696B"/>
      </colorScale>
    </cfRule>
    <cfRule type="colorScale" priority="1851">
      <colorScale>
        <cfvo type="min"/>
        <cfvo type="max"/>
        <color rgb="FFFCFCFF"/>
        <color rgb="FFF8696B"/>
      </colorScale>
    </cfRule>
    <cfRule type="colorScale" priority="1850">
      <colorScale>
        <cfvo type="min"/>
        <cfvo type="max"/>
        <color rgb="FFF8696B"/>
        <color rgb="FFFCFCFF"/>
      </colorScale>
    </cfRule>
    <cfRule type="colorScale" priority="1815">
      <colorScale>
        <cfvo type="min"/>
        <cfvo type="max"/>
        <color rgb="FFFCFCFF"/>
        <color rgb="FFF8696B"/>
      </colorScale>
    </cfRule>
    <cfRule type="colorScale" priority="1816">
      <colorScale>
        <cfvo type="min"/>
        <cfvo type="max"/>
        <color rgb="FFFCFCFF"/>
        <color rgb="FFF8696B"/>
      </colorScale>
    </cfRule>
    <cfRule type="colorScale" priority="1817">
      <colorScale>
        <cfvo type="min"/>
        <cfvo type="max"/>
        <color rgb="FFFCFCFF"/>
        <color rgb="FFF8696B"/>
      </colorScale>
    </cfRule>
    <cfRule type="colorScale" priority="1886">
      <colorScale>
        <cfvo type="min"/>
        <cfvo type="max"/>
        <color rgb="FFFCFCFF"/>
        <color rgb="FFF8696B"/>
      </colorScale>
    </cfRule>
    <cfRule type="colorScale" priority="1885">
      <colorScale>
        <cfvo type="min"/>
        <cfvo type="max"/>
        <color rgb="FFFCFCFF"/>
        <color rgb="FFF8696B"/>
      </colorScale>
    </cfRule>
    <cfRule type="colorScale" priority="1884">
      <colorScale>
        <cfvo type="min"/>
        <cfvo type="max"/>
        <color rgb="FFFCFCFF"/>
        <color rgb="FFF8696B"/>
      </colorScale>
    </cfRule>
    <cfRule type="colorScale" priority="1883">
      <colorScale>
        <cfvo type="min"/>
        <cfvo type="max"/>
        <color rgb="FFF8696B"/>
        <color rgb="FFFCFCFF"/>
      </colorScale>
    </cfRule>
    <cfRule type="colorScale" priority="1882">
      <colorScale>
        <cfvo type="min"/>
        <cfvo type="max"/>
        <color rgb="FFFCFCFF"/>
        <color rgb="FFF8696B"/>
      </colorScale>
    </cfRule>
    <cfRule type="colorScale" priority="1881">
      <colorScale>
        <cfvo type="min"/>
        <cfvo type="max"/>
        <color rgb="FFFCFCFF"/>
        <color rgb="FFF8696B"/>
      </colorScale>
    </cfRule>
    <cfRule type="colorScale" priority="1880">
      <colorScale>
        <cfvo type="min"/>
        <cfvo type="max"/>
        <color rgb="FFFCFCFF"/>
        <color rgb="FFF8696B"/>
      </colorScale>
    </cfRule>
    <cfRule type="colorScale" priority="1879">
      <colorScale>
        <cfvo type="min"/>
        <cfvo type="max"/>
        <color rgb="FFFCFCFF"/>
        <color rgb="FFF8696B"/>
      </colorScale>
    </cfRule>
    <cfRule type="colorScale" priority="1878">
      <colorScale>
        <cfvo type="min"/>
        <cfvo type="max"/>
        <color rgb="FFFCFCFF"/>
        <color rgb="FFF8696B"/>
      </colorScale>
    </cfRule>
    <cfRule type="colorScale" priority="1877">
      <colorScale>
        <cfvo type="min"/>
        <cfvo type="max"/>
        <color rgb="FFF8696B"/>
        <color rgb="FFFCFCFF"/>
      </colorScale>
    </cfRule>
    <cfRule type="colorScale" priority="1876">
      <colorScale>
        <cfvo type="min"/>
        <cfvo type="max"/>
        <color rgb="FFFCFCFF"/>
        <color rgb="FFF8696B"/>
      </colorScale>
    </cfRule>
    <cfRule type="colorScale" priority="1849">
      <colorScale>
        <cfvo type="min"/>
        <cfvo type="max"/>
        <color rgb="FFFCFCFF"/>
        <color rgb="FFF8696B"/>
      </colorScale>
    </cfRule>
    <cfRule type="colorScale" priority="1848">
      <colorScale>
        <cfvo type="min"/>
        <cfvo type="max"/>
        <color rgb="FFFCFCFF"/>
        <color rgb="FFF8696B"/>
      </colorScale>
    </cfRule>
    <cfRule type="colorScale" priority="1847">
      <colorScale>
        <cfvo type="min"/>
        <cfvo type="max"/>
        <color rgb="FFFCFCFF"/>
        <color rgb="FFF8696B"/>
      </colorScale>
    </cfRule>
    <cfRule type="colorScale" priority="1846">
      <colorScale>
        <cfvo type="min"/>
        <cfvo type="max"/>
        <color rgb="FFFCFCFF"/>
        <color rgb="FFF8696B"/>
      </colorScale>
    </cfRule>
    <cfRule type="colorScale" priority="1875">
      <colorScale>
        <cfvo type="min"/>
        <cfvo type="max"/>
        <color rgb="FFFCFCFF"/>
        <color rgb="FFF8696B"/>
      </colorScale>
    </cfRule>
    <cfRule type="colorScale" priority="1845">
      <colorScale>
        <cfvo type="min"/>
        <cfvo type="max"/>
        <color rgb="FFFCFCFF"/>
        <color rgb="FFF8696B"/>
      </colorScale>
    </cfRule>
    <cfRule type="colorScale" priority="1844">
      <colorScale>
        <cfvo type="min"/>
        <cfvo type="max"/>
        <color rgb="FFFCFCFF"/>
        <color rgb="FFF8696B"/>
      </colorScale>
    </cfRule>
    <cfRule type="colorScale" priority="1843">
      <colorScale>
        <cfvo type="min"/>
        <cfvo type="max"/>
        <color rgb="FFF8696B"/>
        <color rgb="FFFCFCFF"/>
      </colorScale>
    </cfRule>
    <cfRule type="colorScale" priority="1842">
      <colorScale>
        <cfvo type="min"/>
        <cfvo type="max"/>
        <color rgb="FFFCFCFF"/>
        <color rgb="FFF8696B"/>
      </colorScale>
    </cfRule>
    <cfRule type="colorScale" priority="1841">
      <colorScale>
        <cfvo type="min"/>
        <cfvo type="max"/>
        <color rgb="FFFCFCFF"/>
        <color rgb="FFF8696B"/>
      </colorScale>
    </cfRule>
    <cfRule type="colorScale" priority="1840">
      <colorScale>
        <cfvo type="min"/>
        <cfvo type="max"/>
        <color rgb="FFF8696B"/>
        <color rgb="FFFCFCFF"/>
      </colorScale>
    </cfRule>
    <cfRule type="colorScale" priority="1839">
      <colorScale>
        <cfvo type="min"/>
        <cfvo type="max"/>
        <color rgb="FFFCFCFF"/>
        <color rgb="FFF8696B"/>
      </colorScale>
    </cfRule>
    <cfRule type="colorScale" priority="1838">
      <colorScale>
        <cfvo type="min"/>
        <cfvo type="max"/>
        <color rgb="FFFCFCFF"/>
        <color rgb="FFF8696B"/>
      </colorScale>
    </cfRule>
    <cfRule type="colorScale" priority="1837">
      <colorScale>
        <cfvo type="min"/>
        <cfvo type="max"/>
        <color rgb="FFF8696B"/>
        <color rgb="FFFCFCFF"/>
      </colorScale>
    </cfRule>
    <cfRule type="colorScale" priority="1874">
      <colorScale>
        <cfvo type="min"/>
        <cfvo type="max"/>
        <color rgb="FFFCFCFF"/>
        <color rgb="FFF8696B"/>
      </colorScale>
    </cfRule>
    <cfRule type="colorScale" priority="1873">
      <colorScale>
        <cfvo type="min"/>
        <cfvo type="max"/>
        <color rgb="FFFCFCFF"/>
        <color rgb="FFF8696B"/>
      </colorScale>
    </cfRule>
    <cfRule type="colorScale" priority="1872">
      <colorScale>
        <cfvo type="min"/>
        <cfvo type="max"/>
        <color rgb="FFFCFCFF"/>
        <color rgb="FFF8696B"/>
      </colorScale>
    </cfRule>
    <cfRule type="colorScale" priority="1871">
      <colorScale>
        <cfvo type="min"/>
        <cfvo type="max"/>
        <color rgb="FFFCFCFF"/>
        <color rgb="FFF8696B"/>
      </colorScale>
    </cfRule>
    <cfRule type="colorScale" priority="1870">
      <colorScale>
        <cfvo type="min"/>
        <cfvo type="max"/>
        <color rgb="FFF8696B"/>
        <color rgb="FFFCFCFF"/>
      </colorScale>
    </cfRule>
    <cfRule type="colorScale" priority="1836">
      <colorScale>
        <cfvo type="min"/>
        <cfvo type="max"/>
        <color rgb="FFFCFCFF"/>
        <color rgb="FFF8696B"/>
      </colorScale>
    </cfRule>
    <cfRule type="colorScale" priority="1835">
      <colorScale>
        <cfvo type="min"/>
        <cfvo type="max"/>
        <color rgb="FFFCFCFF"/>
        <color rgb="FFF8696B"/>
      </colorScale>
    </cfRule>
    <cfRule type="colorScale" priority="1834">
      <colorScale>
        <cfvo type="min"/>
        <cfvo type="max"/>
        <color rgb="FFF8696B"/>
        <color rgb="FFFCFCFF"/>
      </colorScale>
    </cfRule>
    <cfRule type="colorScale" priority="1833">
      <colorScale>
        <cfvo type="min"/>
        <cfvo type="max"/>
        <color rgb="FFFCFCFF"/>
        <color rgb="FFF8696B"/>
      </colorScale>
    </cfRule>
    <cfRule type="colorScale" priority="1832">
      <colorScale>
        <cfvo type="min"/>
        <cfvo type="max"/>
        <color rgb="FFFCFCFF"/>
        <color rgb="FFF8696B"/>
      </colorScale>
    </cfRule>
    <cfRule type="colorScale" priority="1831">
      <colorScale>
        <cfvo type="min"/>
        <cfvo type="max"/>
        <color rgb="FFF8696B"/>
        <color rgb="FFFCFCFF"/>
      </colorScale>
    </cfRule>
    <cfRule type="colorScale" priority="1830">
      <colorScale>
        <cfvo type="min"/>
        <cfvo type="max"/>
        <color rgb="FFFCFCFF"/>
        <color rgb="FFF8696B"/>
      </colorScale>
    </cfRule>
    <cfRule type="colorScale" priority="1829">
      <colorScale>
        <cfvo type="min"/>
        <cfvo type="max"/>
        <color rgb="FFFCFCFF"/>
        <color rgb="FFF8696B"/>
      </colorScale>
    </cfRule>
    <cfRule type="colorScale" priority="1828">
      <colorScale>
        <cfvo type="min"/>
        <cfvo type="max"/>
        <color rgb="FFFCFCFF"/>
        <color rgb="FFF8696B"/>
      </colorScale>
    </cfRule>
    <cfRule type="colorScale" priority="1819">
      <colorScale>
        <cfvo type="min"/>
        <cfvo type="max"/>
        <color rgb="FFFCFCFF"/>
        <color rgb="FFF8696B"/>
      </colorScale>
    </cfRule>
    <cfRule type="colorScale" priority="1820">
      <colorScale>
        <cfvo type="min"/>
        <cfvo type="max"/>
        <color rgb="FFF8696B"/>
        <color rgb="FFFCFCFF"/>
      </colorScale>
    </cfRule>
    <cfRule type="colorScale" priority="1821">
      <colorScale>
        <cfvo type="min"/>
        <cfvo type="max"/>
        <color rgb="FFFCFCFF"/>
        <color rgb="FFF8696B"/>
      </colorScale>
    </cfRule>
    <cfRule type="colorScale" priority="1869">
      <colorScale>
        <cfvo type="min"/>
        <cfvo type="max"/>
        <color rgb="FFFCFCFF"/>
        <color rgb="FFF8696B"/>
      </colorScale>
    </cfRule>
    <cfRule type="colorScale" priority="1868">
      <colorScale>
        <cfvo type="min"/>
        <cfvo type="max"/>
        <color rgb="FFFCFCFF"/>
        <color rgb="FFF8696B"/>
      </colorScale>
    </cfRule>
    <cfRule type="colorScale" priority="1867">
      <colorScale>
        <cfvo type="min"/>
        <cfvo type="max"/>
        <color rgb="FFF8696B"/>
        <color rgb="FFFCFCFF"/>
      </colorScale>
    </cfRule>
    <cfRule type="colorScale" priority="1866">
      <colorScale>
        <cfvo type="min"/>
        <cfvo type="max"/>
        <color rgb="FFFCFCFF"/>
        <color rgb="FFF8696B"/>
      </colorScale>
    </cfRule>
    <cfRule type="colorScale" priority="1865">
      <colorScale>
        <cfvo type="min"/>
        <cfvo type="max"/>
        <color rgb="FFFCFCFF"/>
        <color rgb="FFF8696B"/>
      </colorScale>
    </cfRule>
    <cfRule type="colorScale" priority="1864">
      <colorScale>
        <cfvo type="min"/>
        <cfvo type="max"/>
        <color rgb="FFF8696B"/>
        <color rgb="FFFCFCFF"/>
      </colorScale>
    </cfRule>
    <cfRule type="colorScale" priority="1822">
      <colorScale>
        <cfvo type="min"/>
        <cfvo type="max"/>
        <color rgb="FFFCFCFF"/>
        <color rgb="FFF8696B"/>
      </colorScale>
    </cfRule>
    <cfRule type="colorScale" priority="1862">
      <colorScale>
        <cfvo type="min"/>
        <cfvo type="max"/>
        <color rgb="FFFCFCFF"/>
        <color rgb="FFF8696B"/>
      </colorScale>
    </cfRule>
    <cfRule type="colorScale" priority="1861">
      <colorScale>
        <cfvo type="min"/>
        <cfvo type="max"/>
        <color rgb="FFF8696B"/>
        <color rgb="FFFCFCFF"/>
      </colorScale>
    </cfRule>
    <cfRule type="colorScale" priority="1860">
      <colorScale>
        <cfvo type="min"/>
        <cfvo type="max"/>
        <color rgb="FFFCFCFF"/>
        <color rgb="FFF8696B"/>
      </colorScale>
    </cfRule>
    <cfRule type="colorScale" priority="1823">
      <colorScale>
        <cfvo type="min"/>
        <cfvo type="max"/>
        <color rgb="FFF8696B"/>
        <color rgb="FFFCFCFF"/>
      </colorScale>
    </cfRule>
    <cfRule type="colorScale" priority="1827">
      <colorScale>
        <cfvo type="min"/>
        <cfvo type="max"/>
        <color rgb="FFFCFCFF"/>
        <color rgb="FFF8696B"/>
      </colorScale>
    </cfRule>
    <cfRule type="colorScale" priority="1826">
      <colorScale>
        <cfvo type="min"/>
        <cfvo type="max"/>
        <color rgb="FFF8696B"/>
        <color rgb="FFFCFCFF"/>
      </colorScale>
    </cfRule>
    <cfRule type="colorScale" priority="1825">
      <colorScale>
        <cfvo type="min"/>
        <cfvo type="max"/>
        <color rgb="FFFCFCFF"/>
        <color rgb="FFF8696B"/>
      </colorScale>
    </cfRule>
    <cfRule type="colorScale" priority="1824">
      <colorScale>
        <cfvo type="min"/>
        <cfvo type="max"/>
        <color rgb="FFFCFCFF"/>
        <color rgb="FFF8696B"/>
      </colorScale>
    </cfRule>
  </conditionalFormatting>
  <conditionalFormatting sqref="X30:X32">
    <cfRule type="colorScale" priority="994">
      <colorScale>
        <cfvo type="min"/>
        <cfvo type="max"/>
        <color rgb="FFFCFCFF"/>
        <color rgb="FFF8696B"/>
      </colorScale>
    </cfRule>
    <cfRule type="colorScale" priority="995">
      <colorScale>
        <cfvo type="min"/>
        <cfvo type="max"/>
        <color rgb="FFF8696B"/>
        <color rgb="FFFCFCFF"/>
      </colorScale>
    </cfRule>
    <cfRule type="colorScale" priority="565">
      <colorScale>
        <cfvo type="min"/>
        <cfvo type="max"/>
        <color rgb="FFFCFCFF"/>
        <color rgb="FFF8696B"/>
      </colorScale>
    </cfRule>
    <cfRule type="colorScale" priority="1465">
      <colorScale>
        <cfvo type="min"/>
        <cfvo type="max"/>
        <color rgb="FFF8696B"/>
        <color rgb="FFFCFCFF"/>
      </colorScale>
    </cfRule>
    <cfRule type="colorScale" priority="1464">
      <colorScale>
        <cfvo type="min"/>
        <cfvo type="max"/>
        <color rgb="FFFCFCFF"/>
        <color rgb="FFF8696B"/>
      </colorScale>
    </cfRule>
    <cfRule type="colorScale" priority="1463">
      <colorScale>
        <cfvo type="min"/>
        <cfvo type="max"/>
        <color rgb="FFFCFCFF"/>
        <color rgb="FFF8696B"/>
      </colorScale>
    </cfRule>
    <cfRule type="colorScale" priority="609">
      <colorScale>
        <cfvo type="min"/>
        <cfvo type="max"/>
        <color rgb="FFF8696B"/>
        <color rgb="FFFCFCFF"/>
      </colorScale>
    </cfRule>
    <cfRule type="colorScale" priority="1423">
      <colorScale>
        <cfvo type="min"/>
        <cfvo type="max"/>
        <color rgb="FFF8696B"/>
        <color rgb="FFFCFCFF"/>
      </colorScale>
    </cfRule>
    <cfRule type="colorScale" priority="1422">
      <colorScale>
        <cfvo type="min"/>
        <cfvo type="max"/>
        <color rgb="FFFCFCFF"/>
        <color rgb="FFF8696B"/>
      </colorScale>
    </cfRule>
    <cfRule type="colorScale" priority="1421">
      <colorScale>
        <cfvo type="min"/>
        <cfvo type="max"/>
        <color rgb="FFFCFCFF"/>
        <color rgb="FFF8696B"/>
      </colorScale>
    </cfRule>
    <cfRule type="colorScale" priority="993">
      <colorScale>
        <cfvo type="min"/>
        <cfvo type="max"/>
        <color rgb="FFFCFCFF"/>
        <color rgb="FFF8696B"/>
      </colorScale>
    </cfRule>
    <cfRule type="colorScale" priority="1037">
      <colorScale>
        <cfvo type="min"/>
        <cfvo type="max"/>
        <color rgb="FFF8696B"/>
        <color rgb="FFFCFCFF"/>
      </colorScale>
    </cfRule>
    <cfRule type="colorScale" priority="607">
      <colorScale>
        <cfvo type="min"/>
        <cfvo type="max"/>
        <color rgb="FFFCFCFF"/>
        <color rgb="FFF8696B"/>
      </colorScale>
    </cfRule>
    <cfRule type="colorScale" priority="608">
      <colorScale>
        <cfvo type="min"/>
        <cfvo type="max"/>
        <color rgb="FFFCFCFF"/>
        <color rgb="FFF8696B"/>
      </colorScale>
    </cfRule>
    <cfRule type="colorScale" priority="674">
      <colorScale>
        <cfvo type="min"/>
        <cfvo type="max"/>
        <color rgb="FFFCFCFF"/>
        <color rgb="FFF8696B"/>
      </colorScale>
    </cfRule>
    <cfRule type="colorScale" priority="673">
      <colorScale>
        <cfvo type="min"/>
        <cfvo type="max"/>
        <color rgb="FFFCFCFF"/>
        <color rgb="FFF8696B"/>
      </colorScale>
    </cfRule>
    <cfRule type="colorScale" priority="1036">
      <colorScale>
        <cfvo type="min"/>
        <cfvo type="max"/>
        <color rgb="FFFCFCFF"/>
        <color rgb="FFF8696B"/>
      </colorScale>
    </cfRule>
    <cfRule type="colorScale" priority="1035">
      <colorScale>
        <cfvo type="min"/>
        <cfvo type="max"/>
        <color rgb="FFFCFCFF"/>
        <color rgb="FFF8696B"/>
      </colorScale>
    </cfRule>
    <cfRule type="colorScale" priority="567">
      <colorScale>
        <cfvo type="min"/>
        <cfvo type="max"/>
        <color rgb="FFF8696B"/>
        <color rgb="FFFCFCFF"/>
      </colorScale>
    </cfRule>
    <cfRule type="colorScale" priority="566">
      <colorScale>
        <cfvo type="min"/>
        <cfvo type="max"/>
        <color rgb="FFFCFCFF"/>
        <color rgb="FFF8696B"/>
      </colorScale>
    </cfRule>
    <cfRule type="colorScale" priority="672">
      <colorScale>
        <cfvo type="min"/>
        <cfvo type="max"/>
        <color rgb="FFF8696B"/>
        <color rgb="FFFCFCFF"/>
      </colorScale>
    </cfRule>
    <cfRule type="colorScale" priority="671">
      <colorScale>
        <cfvo type="min"/>
        <cfvo type="max"/>
        <color rgb="FFFCFCFF"/>
        <color rgb="FFF8696B"/>
      </colorScale>
    </cfRule>
    <cfRule type="colorScale" priority="1089">
      <colorScale>
        <cfvo type="min"/>
        <cfvo type="max"/>
        <color rgb="FFFCFCFF"/>
        <color rgb="FFF8696B"/>
      </colorScale>
    </cfRule>
    <cfRule type="colorScale" priority="1090">
      <colorScale>
        <cfvo type="min"/>
        <cfvo type="max"/>
        <color rgb="FFFCFCFF"/>
        <color rgb="FFF8696B"/>
      </colorScale>
    </cfRule>
    <cfRule type="colorScale" priority="1091">
      <colorScale>
        <cfvo type="min"/>
        <cfvo type="max"/>
        <color rgb="FFFCFCFF"/>
        <color rgb="FFF8696B"/>
      </colorScale>
    </cfRule>
    <cfRule type="colorScale" priority="1092">
      <colorScale>
        <cfvo type="min"/>
        <cfvo type="max"/>
        <color rgb="FFFCFCFF"/>
        <color rgb="FFF8696B"/>
      </colorScale>
    </cfRule>
    <cfRule type="colorScale" priority="661">
      <colorScale>
        <cfvo type="min"/>
        <cfvo type="max"/>
        <color rgb="FFFCFCFF"/>
        <color rgb="FFF8696B"/>
      </colorScale>
    </cfRule>
    <cfRule type="colorScale" priority="662">
      <colorScale>
        <cfvo type="min"/>
        <cfvo type="max"/>
        <color rgb="FFFCFCFF"/>
        <color rgb="FFF8696B"/>
      </colorScale>
    </cfRule>
    <cfRule type="colorScale" priority="663">
      <colorScale>
        <cfvo type="min"/>
        <cfvo type="max"/>
        <color rgb="FFFCFCFF"/>
        <color rgb="FFF8696B"/>
      </colorScale>
    </cfRule>
    <cfRule type="colorScale" priority="664">
      <colorScale>
        <cfvo type="min"/>
        <cfvo type="max"/>
        <color rgb="FFFCFCFF"/>
        <color rgb="FFF8696B"/>
      </colorScale>
    </cfRule>
    <cfRule type="colorScale" priority="665">
      <colorScale>
        <cfvo type="min"/>
        <cfvo type="max"/>
        <color rgb="FFFCFCFF"/>
        <color rgb="FFF8696B"/>
      </colorScale>
    </cfRule>
    <cfRule type="colorScale" priority="666">
      <colorScale>
        <cfvo type="min"/>
        <cfvo type="max"/>
        <color rgb="FFF8696B"/>
        <color rgb="FFFCFCFF"/>
      </colorScale>
    </cfRule>
    <cfRule type="colorScale" priority="667">
      <colorScale>
        <cfvo type="min"/>
        <cfvo type="max"/>
        <color rgb="FFFCFCFF"/>
        <color rgb="FFF8696B"/>
      </colorScale>
    </cfRule>
    <cfRule type="colorScale" priority="668">
      <colorScale>
        <cfvo type="min"/>
        <cfvo type="max"/>
        <color rgb="FFFCFCFF"/>
        <color rgb="FFF8696B"/>
      </colorScale>
    </cfRule>
    <cfRule type="colorScale" priority="669">
      <colorScale>
        <cfvo type="min"/>
        <cfvo type="max"/>
        <color rgb="FFFCFCFF"/>
        <color rgb="FFF8696B"/>
      </colorScale>
    </cfRule>
    <cfRule type="colorScale" priority="670">
      <colorScale>
        <cfvo type="min"/>
        <cfvo type="max"/>
        <color rgb="FFFCFCFF"/>
        <color rgb="FFF8696B"/>
      </colorScale>
    </cfRule>
    <cfRule type="colorScale" priority="1517">
      <colorScale>
        <cfvo type="min"/>
        <cfvo type="max"/>
        <color rgb="FFFCFCFF"/>
        <color rgb="FFF8696B"/>
      </colorScale>
    </cfRule>
    <cfRule type="colorScale" priority="1518">
      <colorScale>
        <cfvo type="min"/>
        <cfvo type="max"/>
        <color rgb="FFFCFCFF"/>
        <color rgb="FFF8696B"/>
      </colorScale>
    </cfRule>
    <cfRule type="colorScale" priority="1519">
      <colorScale>
        <cfvo type="min"/>
        <cfvo type="max"/>
        <color rgb="FFFCFCFF"/>
        <color rgb="FFF8696B"/>
      </colorScale>
    </cfRule>
    <cfRule type="colorScale" priority="1520">
      <colorScale>
        <cfvo type="min"/>
        <cfvo type="max"/>
        <color rgb="FFFCFCFF"/>
        <color rgb="FFF8696B"/>
      </colorScale>
    </cfRule>
    <cfRule type="colorScale" priority="1521">
      <colorScale>
        <cfvo type="min"/>
        <cfvo type="max"/>
        <color rgb="FFFCFCFF"/>
        <color rgb="FFF8696B"/>
      </colorScale>
    </cfRule>
    <cfRule type="colorScale" priority="1522">
      <colorScale>
        <cfvo type="min"/>
        <cfvo type="max"/>
        <color rgb="FFF8696B"/>
        <color rgb="FFFCFCFF"/>
      </colorScale>
    </cfRule>
    <cfRule type="colorScale" priority="1523">
      <colorScale>
        <cfvo type="min"/>
        <cfvo type="max"/>
        <color rgb="FFFCFCFF"/>
        <color rgb="FFF8696B"/>
      </colorScale>
    </cfRule>
    <cfRule type="colorScale" priority="1524">
      <colorScale>
        <cfvo type="min"/>
        <cfvo type="max"/>
        <color rgb="FFFCFCFF"/>
        <color rgb="FFF8696B"/>
      </colorScale>
    </cfRule>
    <cfRule type="colorScale" priority="1525">
      <colorScale>
        <cfvo type="min"/>
        <cfvo type="max"/>
        <color rgb="FFFCFCFF"/>
        <color rgb="FFF8696B"/>
      </colorScale>
    </cfRule>
    <cfRule type="colorScale" priority="1526">
      <colorScale>
        <cfvo type="min"/>
        <cfvo type="max"/>
        <color rgb="FFFCFCFF"/>
        <color rgb="FFF8696B"/>
      </colorScale>
    </cfRule>
    <cfRule type="colorScale" priority="1527">
      <colorScale>
        <cfvo type="min"/>
        <cfvo type="max"/>
        <color rgb="FFFCFCFF"/>
        <color rgb="FFF8696B"/>
      </colorScale>
    </cfRule>
    <cfRule type="colorScale" priority="1528">
      <colorScale>
        <cfvo type="min"/>
        <cfvo type="max"/>
        <color rgb="FFF8696B"/>
        <color rgb="FFFCFCFF"/>
      </colorScale>
    </cfRule>
    <cfRule type="colorScale" priority="1529">
      <colorScale>
        <cfvo type="min"/>
        <cfvo type="max"/>
        <color rgb="FFFCFCFF"/>
        <color rgb="FFF8696B"/>
      </colorScale>
    </cfRule>
    <cfRule type="colorScale" priority="1530">
      <colorScale>
        <cfvo type="min"/>
        <cfvo type="max"/>
        <color rgb="FFFCFCFF"/>
        <color rgb="FFF8696B"/>
      </colorScale>
    </cfRule>
    <cfRule type="colorScale" priority="1093">
      <colorScale>
        <cfvo type="min"/>
        <cfvo type="max"/>
        <color rgb="FFFCFCFF"/>
        <color rgb="FFF8696B"/>
      </colorScale>
    </cfRule>
    <cfRule type="colorScale" priority="1094">
      <colorScale>
        <cfvo type="min"/>
        <cfvo type="max"/>
        <color rgb="FFF8696B"/>
        <color rgb="FFFCFCFF"/>
      </colorScale>
    </cfRule>
    <cfRule type="colorScale" priority="1095">
      <colorScale>
        <cfvo type="min"/>
        <cfvo type="max"/>
        <color rgb="FFFCFCFF"/>
        <color rgb="FFF8696B"/>
      </colorScale>
    </cfRule>
    <cfRule type="colorScale" priority="1096">
      <colorScale>
        <cfvo type="min"/>
        <cfvo type="max"/>
        <color rgb="FFFCFCFF"/>
        <color rgb="FFF8696B"/>
      </colorScale>
    </cfRule>
    <cfRule type="colorScale" priority="1097">
      <colorScale>
        <cfvo type="min"/>
        <cfvo type="max"/>
        <color rgb="FFFCFCFF"/>
        <color rgb="FFF8696B"/>
      </colorScale>
    </cfRule>
    <cfRule type="colorScale" priority="1098">
      <colorScale>
        <cfvo type="min"/>
        <cfvo type="max"/>
        <color rgb="FFFCFCFF"/>
        <color rgb="FFF8696B"/>
      </colorScale>
    </cfRule>
    <cfRule type="colorScale" priority="1099">
      <colorScale>
        <cfvo type="min"/>
        <cfvo type="max"/>
        <color rgb="FFFCFCFF"/>
        <color rgb="FFF8696B"/>
      </colorScale>
    </cfRule>
    <cfRule type="colorScale" priority="1100">
      <colorScale>
        <cfvo type="min"/>
        <cfvo type="max"/>
        <color rgb="FFF8696B"/>
        <color rgb="FFFCFCFF"/>
      </colorScale>
    </cfRule>
    <cfRule type="colorScale" priority="1101">
      <colorScale>
        <cfvo type="min"/>
        <cfvo type="max"/>
        <color rgb="FFFCFCFF"/>
        <color rgb="FFF8696B"/>
      </colorScale>
    </cfRule>
    <cfRule type="colorScale" priority="1102">
      <colorScale>
        <cfvo type="min"/>
        <cfvo type="max"/>
        <color rgb="FFFCFCFF"/>
        <color rgb="FFF8696B"/>
      </colorScale>
    </cfRule>
  </conditionalFormatting>
  <conditionalFormatting sqref="X30:X36">
    <cfRule type="colorScale" priority="1541">
      <colorScale>
        <cfvo type="min"/>
        <cfvo type="max"/>
        <color rgb="FFFCFCFF"/>
        <color rgb="FFF8696B"/>
      </colorScale>
    </cfRule>
    <cfRule type="colorScale" priority="1542">
      <colorScale>
        <cfvo type="min"/>
        <cfvo type="max"/>
        <color rgb="FFFCFCFF"/>
        <color rgb="FFF8696B"/>
      </colorScale>
    </cfRule>
    <cfRule type="colorScale" priority="1543">
      <colorScale>
        <cfvo type="min"/>
        <cfvo type="max"/>
        <color rgb="FFFCFCFF"/>
        <color rgb="FFF8696B"/>
      </colorScale>
    </cfRule>
    <cfRule type="colorScale" priority="1544">
      <colorScale>
        <cfvo type="min"/>
        <cfvo type="max"/>
        <color rgb="FFFCFCFF"/>
        <color rgb="FFF8696B"/>
      </colorScale>
    </cfRule>
    <cfRule type="colorScale" priority="1545">
      <colorScale>
        <cfvo type="min"/>
        <cfvo type="max"/>
        <color rgb="FFF8696B"/>
        <color rgb="FFFCFCFF"/>
      </colorScale>
    </cfRule>
    <cfRule type="colorScale" priority="1546">
      <colorScale>
        <cfvo type="min"/>
        <cfvo type="max"/>
        <color rgb="FFFCFCFF"/>
        <color rgb="FFF8696B"/>
      </colorScale>
    </cfRule>
    <cfRule type="colorScale" priority="1547">
      <colorScale>
        <cfvo type="min"/>
        <cfvo type="max"/>
        <color rgb="FFF8696B"/>
        <color rgb="FFFCFCFF"/>
      </colorScale>
    </cfRule>
    <cfRule type="colorScale" priority="1106">
      <colorScale>
        <cfvo type="min"/>
        <cfvo type="max"/>
        <color rgb="FFFCFCFF"/>
        <color rgb="FFF8696B"/>
      </colorScale>
    </cfRule>
    <cfRule type="colorScale" priority="1105">
      <colorScale>
        <cfvo type="min"/>
        <cfvo type="max"/>
        <color rgb="FFFCFCFF"/>
        <color rgb="FFF8696B"/>
      </colorScale>
    </cfRule>
    <cfRule type="colorScale" priority="1104">
      <colorScale>
        <cfvo type="min"/>
        <cfvo type="max"/>
        <color rgb="FFFCFCFF"/>
        <color rgb="FFF8696B"/>
      </colorScale>
    </cfRule>
    <cfRule type="colorScale" priority="1103">
      <colorScale>
        <cfvo type="min"/>
        <cfvo type="max"/>
        <color rgb="FFFCFCFF"/>
        <color rgb="FFF8696B"/>
      </colorScale>
    </cfRule>
    <cfRule type="colorScale" priority="1540">
      <colorScale>
        <cfvo type="min"/>
        <cfvo type="max"/>
        <color rgb="FFFCFCFF"/>
        <color rgb="FFF8696B"/>
      </colorScale>
    </cfRule>
    <cfRule type="colorScale" priority="1539">
      <colorScale>
        <cfvo type="min"/>
        <cfvo type="max"/>
        <color rgb="FFFCFCFF"/>
        <color rgb="FFF8696B"/>
      </colorScale>
    </cfRule>
    <cfRule type="colorScale" priority="1538">
      <colorScale>
        <cfvo type="min"/>
        <cfvo type="max"/>
        <color rgb="FFFCFCFF"/>
        <color rgb="FFF8696B"/>
      </colorScale>
    </cfRule>
    <cfRule type="colorScale" priority="1537">
      <colorScale>
        <cfvo type="min"/>
        <cfvo type="max"/>
        <color rgb="FFFCFCFF"/>
        <color rgb="FFF8696B"/>
      </colorScale>
    </cfRule>
    <cfRule type="colorScale" priority="1536">
      <colorScale>
        <cfvo type="min"/>
        <cfvo type="max"/>
        <color rgb="FFF8696B"/>
        <color rgb="FFFCFCFF"/>
      </colorScale>
    </cfRule>
    <cfRule type="colorScale" priority="1535">
      <colorScale>
        <cfvo type="min"/>
        <cfvo type="max"/>
        <color rgb="FFFCFCFF"/>
        <color rgb="FFF8696B"/>
      </colorScale>
    </cfRule>
    <cfRule type="colorScale" priority="1534">
      <colorScale>
        <cfvo type="min"/>
        <cfvo type="max"/>
        <color rgb="FFFCFCFF"/>
        <color rgb="FFF8696B"/>
      </colorScale>
    </cfRule>
    <cfRule type="colorScale" priority="1533">
      <colorScale>
        <cfvo type="min"/>
        <cfvo type="max"/>
        <color rgb="FFFCFCFF"/>
        <color rgb="FFF8696B"/>
      </colorScale>
    </cfRule>
    <cfRule type="colorScale" priority="1532">
      <colorScale>
        <cfvo type="min"/>
        <cfvo type="max"/>
        <color rgb="FFFCFCFF"/>
        <color rgb="FFF8696B"/>
      </colorScale>
    </cfRule>
    <cfRule type="colorScale" priority="1531">
      <colorScale>
        <cfvo type="min"/>
        <cfvo type="max"/>
        <color rgb="FFFCFCFF"/>
        <color rgb="FFF8696B"/>
      </colorScale>
    </cfRule>
    <cfRule type="colorScale" priority="640">
      <colorScale>
        <cfvo type="min"/>
        <cfvo type="max"/>
        <color rgb="FFFCFCFF"/>
        <color rgb="FFF8696B"/>
      </colorScale>
    </cfRule>
    <cfRule type="colorScale" priority="639">
      <colorScale>
        <cfvo type="min"/>
        <cfvo type="max"/>
        <color rgb="FFFCFCFF"/>
        <color rgb="FFF8696B"/>
      </colorScale>
    </cfRule>
    <cfRule type="colorScale" priority="638">
      <colorScale>
        <cfvo type="min"/>
        <cfvo type="max"/>
        <color rgb="FFFCFCFF"/>
        <color rgb="FFF8696B"/>
      </colorScale>
    </cfRule>
    <cfRule type="colorScale" priority="637">
      <colorScale>
        <cfvo type="min"/>
        <cfvo type="max"/>
        <color rgb="FFF8696B"/>
        <color rgb="FFFCFCFF"/>
      </colorScale>
    </cfRule>
    <cfRule type="colorScale" priority="636">
      <colorScale>
        <cfvo type="min"/>
        <cfvo type="max"/>
        <color rgb="FFFCFCFF"/>
        <color rgb="FFF8696B"/>
      </colorScale>
    </cfRule>
    <cfRule type="colorScale" priority="635">
      <colorScale>
        <cfvo type="min"/>
        <cfvo type="max"/>
        <color rgb="FFFCFCFF"/>
        <color rgb="FFF8696B"/>
      </colorScale>
    </cfRule>
    <cfRule type="colorScale" priority="1496">
      <colorScale>
        <cfvo type="min"/>
        <cfvo type="max"/>
        <color rgb="FFFCFCFF"/>
        <color rgb="FFF8696B"/>
      </colorScale>
    </cfRule>
    <cfRule type="colorScale" priority="1495">
      <colorScale>
        <cfvo type="min"/>
        <cfvo type="max"/>
        <color rgb="FFFCFCFF"/>
        <color rgb="FFF8696B"/>
      </colorScale>
    </cfRule>
    <cfRule type="colorScale" priority="1494">
      <colorScale>
        <cfvo type="min"/>
        <cfvo type="max"/>
        <color rgb="FFFCFCFF"/>
        <color rgb="FFF8696B"/>
      </colorScale>
    </cfRule>
    <cfRule type="colorScale" priority="1493">
      <colorScale>
        <cfvo type="min"/>
        <cfvo type="max"/>
        <color rgb="FFF8696B"/>
        <color rgb="FFFCFCFF"/>
      </colorScale>
    </cfRule>
    <cfRule type="colorScale" priority="675">
      <colorScale>
        <cfvo type="min"/>
        <cfvo type="max"/>
        <color rgb="FFFCFCFF"/>
        <color rgb="FFF8696B"/>
      </colorScale>
    </cfRule>
    <cfRule type="colorScale" priority="676">
      <colorScale>
        <cfvo type="min"/>
        <cfvo type="max"/>
        <color rgb="FFFCFCFF"/>
        <color rgb="FFF8696B"/>
      </colorScale>
    </cfRule>
    <cfRule type="colorScale" priority="677">
      <colorScale>
        <cfvo type="min"/>
        <cfvo type="max"/>
        <color rgb="FFFCFCFF"/>
        <color rgb="FFF8696B"/>
      </colorScale>
    </cfRule>
    <cfRule type="colorScale" priority="1492">
      <colorScale>
        <cfvo type="min"/>
        <cfvo type="max"/>
        <color rgb="FFFCFCFF"/>
        <color rgb="FFF8696B"/>
      </colorScale>
    </cfRule>
    <cfRule type="colorScale" priority="1110">
      <colorScale>
        <cfvo type="min"/>
        <cfvo type="max"/>
        <color rgb="FFFCFCFF"/>
        <color rgb="FFF8696B"/>
      </colorScale>
    </cfRule>
    <cfRule type="colorScale" priority="678">
      <colorScale>
        <cfvo type="min"/>
        <cfvo type="max"/>
        <color rgb="FFFCFCFF"/>
        <color rgb="FFF8696B"/>
      </colorScale>
    </cfRule>
    <cfRule type="colorScale" priority="679">
      <colorScale>
        <cfvo type="min"/>
        <cfvo type="max"/>
        <color rgb="FFFCFCFF"/>
        <color rgb="FFF8696B"/>
      </colorScale>
    </cfRule>
    <cfRule type="colorScale" priority="680">
      <colorScale>
        <cfvo type="min"/>
        <cfvo type="max"/>
        <color rgb="FFF8696B"/>
        <color rgb="FFFCFCFF"/>
      </colorScale>
    </cfRule>
    <cfRule type="colorScale" priority="681">
      <colorScale>
        <cfvo type="min"/>
        <cfvo type="max"/>
        <color rgb="FFFCFCFF"/>
        <color rgb="FFF8696B"/>
      </colorScale>
    </cfRule>
    <cfRule type="colorScale" priority="682">
      <colorScale>
        <cfvo type="min"/>
        <cfvo type="max"/>
        <color rgb="FFFCFCFF"/>
        <color rgb="FFF8696B"/>
      </colorScale>
    </cfRule>
    <cfRule type="colorScale" priority="683">
      <colorScale>
        <cfvo type="min"/>
        <cfvo type="max"/>
        <color rgb="FFFCFCFF"/>
        <color rgb="FFF8696B"/>
      </colorScale>
    </cfRule>
    <cfRule type="colorScale" priority="684">
      <colorScale>
        <cfvo type="min"/>
        <cfvo type="max"/>
        <color rgb="FFFCFCFF"/>
        <color rgb="FFF8696B"/>
      </colorScale>
    </cfRule>
    <cfRule type="colorScale" priority="685">
      <colorScale>
        <cfvo type="min"/>
        <cfvo type="max"/>
        <color rgb="FFFCFCFF"/>
        <color rgb="FFF8696B"/>
      </colorScale>
    </cfRule>
    <cfRule type="colorScale" priority="686">
      <colorScale>
        <cfvo type="min"/>
        <cfvo type="max"/>
        <color rgb="FFFCFCFF"/>
        <color rgb="FFF8696B"/>
      </colorScale>
    </cfRule>
    <cfRule type="colorScale" priority="687">
      <colorScale>
        <cfvo type="min"/>
        <cfvo type="max"/>
        <color rgb="FFFCFCFF"/>
        <color rgb="FFF8696B"/>
      </colorScale>
    </cfRule>
    <cfRule type="colorScale" priority="688">
      <colorScale>
        <cfvo type="min"/>
        <cfvo type="max"/>
        <color rgb="FFFCFCFF"/>
        <color rgb="FFF8696B"/>
      </colorScale>
    </cfRule>
    <cfRule type="colorScale" priority="689">
      <colorScale>
        <cfvo type="min"/>
        <cfvo type="max"/>
        <color rgb="FFF8696B"/>
        <color rgb="FFFCFCFF"/>
      </colorScale>
    </cfRule>
    <cfRule type="colorScale" priority="690">
      <colorScale>
        <cfvo type="min"/>
        <cfvo type="max"/>
        <color rgb="FFFCFCFF"/>
        <color rgb="FFF8696B"/>
      </colorScale>
    </cfRule>
    <cfRule type="colorScale" priority="1068">
      <colorScale>
        <cfvo type="min"/>
        <cfvo type="max"/>
        <color rgb="FFFCFCFF"/>
        <color rgb="FFF8696B"/>
      </colorScale>
    </cfRule>
    <cfRule type="colorScale" priority="1067">
      <colorScale>
        <cfvo type="min"/>
        <cfvo type="max"/>
        <color rgb="FFFCFCFF"/>
        <color rgb="FFF8696B"/>
      </colorScale>
    </cfRule>
    <cfRule type="colorScale" priority="1066">
      <colorScale>
        <cfvo type="min"/>
        <cfvo type="max"/>
        <color rgb="FFFCFCFF"/>
        <color rgb="FFF8696B"/>
      </colorScale>
    </cfRule>
    <cfRule type="colorScale" priority="1065">
      <colorScale>
        <cfvo type="min"/>
        <cfvo type="max"/>
        <color rgb="FFF8696B"/>
        <color rgb="FFFCFCFF"/>
      </colorScale>
    </cfRule>
    <cfRule type="colorScale" priority="1111">
      <colorScale>
        <cfvo type="min"/>
        <cfvo type="max"/>
        <color rgb="FFFCFCFF"/>
        <color rgb="FFF8696B"/>
      </colorScale>
    </cfRule>
    <cfRule type="colorScale" priority="1112">
      <colorScale>
        <cfvo type="min"/>
        <cfvo type="max"/>
        <color rgb="FFFCFCFF"/>
        <color rgb="FFF8696B"/>
      </colorScale>
    </cfRule>
    <cfRule type="colorScale" priority="1064">
      <colorScale>
        <cfvo type="min"/>
        <cfvo type="max"/>
        <color rgb="FFFCFCFF"/>
        <color rgb="FFF8696B"/>
      </colorScale>
    </cfRule>
    <cfRule type="colorScale" priority="1063">
      <colorScale>
        <cfvo type="min"/>
        <cfvo type="max"/>
        <color rgb="FFFCFCFF"/>
        <color rgb="FFF8696B"/>
      </colorScale>
    </cfRule>
    <cfRule type="colorScale" priority="691">
      <colorScale>
        <cfvo type="min"/>
        <cfvo type="max"/>
        <color rgb="FFF8696B"/>
        <color rgb="FFFCFCFF"/>
      </colorScale>
    </cfRule>
    <cfRule type="colorScale" priority="1491">
      <colorScale>
        <cfvo type="min"/>
        <cfvo type="max"/>
        <color rgb="FFFCFCFF"/>
        <color rgb="FFF8696B"/>
      </colorScale>
    </cfRule>
    <cfRule type="colorScale" priority="1113">
      <colorScale>
        <cfvo type="min"/>
        <cfvo type="max"/>
        <color rgb="FFFCFCFF"/>
        <color rgb="FFF8696B"/>
      </colorScale>
    </cfRule>
    <cfRule type="colorScale" priority="1481">
      <colorScale>
        <cfvo type="min"/>
        <cfvo type="max"/>
        <color rgb="FFFCFCFF"/>
        <color rgb="FFF8696B"/>
      </colorScale>
    </cfRule>
    <cfRule type="colorScale" priority="1476">
      <colorScale>
        <cfvo type="min"/>
        <cfvo type="max"/>
        <color rgb="FFFCFCFF"/>
        <color rgb="FFF8696B"/>
      </colorScale>
    </cfRule>
    <cfRule type="colorScale" priority="996">
      <colorScale>
        <cfvo type="min"/>
        <cfvo type="max"/>
        <color rgb="FFFCFCFF"/>
        <color rgb="FFF8696B"/>
      </colorScale>
    </cfRule>
    <cfRule type="colorScale" priority="997">
      <colorScale>
        <cfvo type="min"/>
        <cfvo type="max"/>
        <color rgb="FFFCFCFF"/>
        <color rgb="FFF8696B"/>
      </colorScale>
    </cfRule>
    <cfRule type="colorScale" priority="998">
      <colorScale>
        <cfvo type="min"/>
        <cfvo type="max"/>
        <color rgb="FFFCFCFF"/>
        <color rgb="FFF8696B"/>
      </colorScale>
    </cfRule>
    <cfRule type="colorScale" priority="999">
      <colorScale>
        <cfvo type="min"/>
        <cfvo type="max"/>
        <color rgb="FFF8696B"/>
        <color rgb="FFFCFCFF"/>
      </colorScale>
    </cfRule>
    <cfRule type="colorScale" priority="577">
      <colorScale>
        <cfvo type="min"/>
        <cfvo type="max"/>
        <color rgb="FFF8696B"/>
        <color rgb="FFFCFCFF"/>
      </colorScale>
    </cfRule>
    <cfRule type="colorScale" priority="1053">
      <colorScale>
        <cfvo type="min"/>
        <cfvo type="max"/>
        <color rgb="FFFCFCFF"/>
        <color rgb="FFF8696B"/>
      </colorScale>
    </cfRule>
    <cfRule type="colorScale" priority="1000">
      <colorScale>
        <cfvo type="min"/>
        <cfvo type="max"/>
        <color rgb="FFFCFCFF"/>
        <color rgb="FFF8696B"/>
      </colorScale>
    </cfRule>
    <cfRule type="colorScale" priority="1001">
      <colorScale>
        <cfvo type="min"/>
        <cfvo type="max"/>
        <color rgb="FFFCFCFF"/>
        <color rgb="FFF8696B"/>
      </colorScale>
    </cfRule>
    <cfRule type="colorScale" priority="1002">
      <colorScale>
        <cfvo type="min"/>
        <cfvo type="max"/>
        <color rgb="FFF8696B"/>
        <color rgb="FFFCFCFF"/>
      </colorScale>
    </cfRule>
    <cfRule type="colorScale" priority="1003">
      <colorScale>
        <cfvo type="min"/>
        <cfvo type="max"/>
        <color rgb="FFFCFCFF"/>
        <color rgb="FFF8696B"/>
      </colorScale>
    </cfRule>
    <cfRule type="colorScale" priority="1004">
      <colorScale>
        <cfvo type="min"/>
        <cfvo type="max"/>
        <color rgb="FFFCFCFF"/>
        <color rgb="FFF8696B"/>
      </colorScale>
    </cfRule>
    <cfRule type="colorScale" priority="1047">
      <colorScale>
        <cfvo type="min"/>
        <cfvo type="max"/>
        <color rgb="FFF8696B"/>
        <color rgb="FFFCFCFF"/>
      </colorScale>
    </cfRule>
    <cfRule type="colorScale" priority="1046">
      <colorScale>
        <cfvo type="min"/>
        <cfvo type="max"/>
        <color rgb="FFFCFCFF"/>
        <color rgb="FFF8696B"/>
      </colorScale>
    </cfRule>
    <cfRule type="colorScale" priority="1045">
      <colorScale>
        <cfvo type="min"/>
        <cfvo type="max"/>
        <color rgb="FFFCFCFF"/>
        <color rgb="FFF8696B"/>
      </colorScale>
    </cfRule>
    <cfRule type="colorScale" priority="1044">
      <colorScale>
        <cfvo type="min"/>
        <cfvo type="max"/>
        <color rgb="FFF8696B"/>
        <color rgb="FFFCFCFF"/>
      </colorScale>
    </cfRule>
    <cfRule type="colorScale" priority="1043">
      <colorScale>
        <cfvo type="min"/>
        <cfvo type="max"/>
        <color rgb="FFFCFCFF"/>
        <color rgb="FFF8696B"/>
      </colorScale>
    </cfRule>
    <cfRule type="colorScale" priority="1042">
      <colorScale>
        <cfvo type="min"/>
        <cfvo type="max"/>
        <color rgb="FFFCFCFF"/>
        <color rgb="FFF8696B"/>
      </colorScale>
    </cfRule>
    <cfRule type="colorScale" priority="1114">
      <colorScale>
        <cfvo type="min"/>
        <cfvo type="max"/>
        <color rgb="FFFCFCFF"/>
        <color rgb="FFF8696B"/>
      </colorScale>
    </cfRule>
    <cfRule type="colorScale" priority="1115">
      <colorScale>
        <cfvo type="min"/>
        <cfvo type="max"/>
        <color rgb="FFFCFCFF"/>
        <color rgb="FFF8696B"/>
      </colorScale>
    </cfRule>
    <cfRule type="colorScale" priority="1116">
      <colorScale>
        <cfvo type="min"/>
        <cfvo type="max"/>
        <color rgb="FFFCFCFF"/>
        <color rgb="FFF8696B"/>
      </colorScale>
    </cfRule>
    <cfRule type="colorScale" priority="1117">
      <colorScale>
        <cfvo type="min"/>
        <cfvo type="max"/>
        <color rgb="FFF8696B"/>
        <color rgb="FFFCFCFF"/>
      </colorScale>
    </cfRule>
    <cfRule type="colorScale" priority="1118">
      <colorScale>
        <cfvo type="min"/>
        <cfvo type="max"/>
        <color rgb="FFFCFCFF"/>
        <color rgb="FFF8696B"/>
      </colorScale>
    </cfRule>
    <cfRule type="colorScale" priority="1005">
      <colorScale>
        <cfvo type="min"/>
        <cfvo type="max"/>
        <color rgb="FFF8696B"/>
        <color rgb="FFFCFCFF"/>
      </colorScale>
    </cfRule>
    <cfRule type="colorScale" priority="1006">
      <colorScale>
        <cfvo type="min"/>
        <cfvo type="max"/>
        <color rgb="FFFCFCFF"/>
        <color rgb="FFF8696B"/>
      </colorScale>
    </cfRule>
    <cfRule type="colorScale" priority="1119">
      <colorScale>
        <cfvo type="min"/>
        <cfvo type="max"/>
        <color rgb="FFF8696B"/>
        <color rgb="FFFCFCFF"/>
      </colorScale>
    </cfRule>
    <cfRule type="colorScale" priority="1475">
      <colorScale>
        <cfvo type="min"/>
        <cfvo type="max"/>
        <color rgb="FFF8696B"/>
        <color rgb="FFFCFCFF"/>
      </colorScale>
    </cfRule>
    <cfRule type="colorScale" priority="1474">
      <colorScale>
        <cfvo type="min"/>
        <cfvo type="max"/>
        <color rgb="FFFCFCFF"/>
        <color rgb="FFF8696B"/>
      </colorScale>
    </cfRule>
    <cfRule type="colorScale" priority="1473">
      <colorScale>
        <cfvo type="min"/>
        <cfvo type="max"/>
        <color rgb="FFFCFCFF"/>
        <color rgb="FFF8696B"/>
      </colorScale>
    </cfRule>
    <cfRule type="colorScale" priority="1472">
      <colorScale>
        <cfvo type="min"/>
        <cfvo type="max"/>
        <color rgb="FFF8696B"/>
        <color rgb="FFFCFCFF"/>
      </colorScale>
    </cfRule>
    <cfRule type="colorScale" priority="1471">
      <colorScale>
        <cfvo type="min"/>
        <cfvo type="max"/>
        <color rgb="FFFCFCFF"/>
        <color rgb="FFF8696B"/>
      </colorScale>
    </cfRule>
    <cfRule type="colorScale" priority="1470">
      <colorScale>
        <cfvo type="min"/>
        <cfvo type="max"/>
        <color rgb="FFFCFCFF"/>
        <color rgb="FFF8696B"/>
      </colorScale>
    </cfRule>
    <cfRule type="colorScale" priority="1469">
      <colorScale>
        <cfvo type="min"/>
        <cfvo type="max"/>
        <color rgb="FFF8696B"/>
        <color rgb="FFFCFCFF"/>
      </colorScale>
    </cfRule>
    <cfRule type="colorScale" priority="1468">
      <colorScale>
        <cfvo type="min"/>
        <cfvo type="max"/>
        <color rgb="FFFCFCFF"/>
        <color rgb="FFF8696B"/>
      </colorScale>
    </cfRule>
    <cfRule type="colorScale" priority="1467">
      <colorScale>
        <cfvo type="min"/>
        <cfvo type="max"/>
        <color rgb="FFFCFCFF"/>
        <color rgb="FFF8696B"/>
      </colorScale>
    </cfRule>
    <cfRule type="colorScale" priority="1466">
      <colorScale>
        <cfvo type="min"/>
        <cfvo type="max"/>
        <color rgb="FFFCFCFF"/>
        <color rgb="FFF8696B"/>
      </colorScale>
    </cfRule>
    <cfRule type="colorScale" priority="1453">
      <colorScale>
        <cfvo type="min"/>
        <cfvo type="max"/>
        <color rgb="FFFCFCFF"/>
        <color rgb="FFF8696B"/>
      </colorScale>
    </cfRule>
    <cfRule type="colorScale" priority="1452">
      <colorScale>
        <cfvo type="min"/>
        <cfvo type="max"/>
        <color rgb="FFFCFCFF"/>
        <color rgb="FFF8696B"/>
      </colorScale>
    </cfRule>
    <cfRule type="colorScale" priority="1451">
      <colorScale>
        <cfvo type="min"/>
        <cfvo type="max"/>
        <color rgb="FFF8696B"/>
        <color rgb="FFFCFCFF"/>
      </colorScale>
    </cfRule>
    <cfRule type="colorScale" priority="1450">
      <colorScale>
        <cfvo type="min"/>
        <cfvo type="max"/>
        <color rgb="FFFCFCFF"/>
        <color rgb="FFF8696B"/>
      </colorScale>
    </cfRule>
    <cfRule type="colorScale" priority="1449">
      <colorScale>
        <cfvo type="min"/>
        <cfvo type="max"/>
        <color rgb="FFFCFCFF"/>
        <color rgb="FFF8696B"/>
      </colorScale>
    </cfRule>
    <cfRule type="colorScale" priority="1439">
      <colorScale>
        <cfvo type="min"/>
        <cfvo type="max"/>
        <color rgb="FFFCFCFF"/>
        <color rgb="FFF8696B"/>
      </colorScale>
    </cfRule>
    <cfRule type="colorScale" priority="1434">
      <colorScale>
        <cfvo type="min"/>
        <cfvo type="max"/>
        <color rgb="FFFCFCFF"/>
        <color rgb="FFF8696B"/>
      </colorScale>
    </cfRule>
    <cfRule type="colorScale" priority="1433">
      <colorScale>
        <cfvo type="min"/>
        <cfvo type="max"/>
        <color rgb="FFF8696B"/>
        <color rgb="FFFCFCFF"/>
      </colorScale>
    </cfRule>
    <cfRule type="colorScale" priority="1432">
      <colorScale>
        <cfvo type="min"/>
        <cfvo type="max"/>
        <color rgb="FFFCFCFF"/>
        <color rgb="FFF8696B"/>
      </colorScale>
    </cfRule>
    <cfRule type="colorScale" priority="1431">
      <colorScale>
        <cfvo type="min"/>
        <cfvo type="max"/>
        <color rgb="FFFCFCFF"/>
        <color rgb="FFF8696B"/>
      </colorScale>
    </cfRule>
    <cfRule type="colorScale" priority="1430">
      <colorScale>
        <cfvo type="min"/>
        <cfvo type="max"/>
        <color rgb="FFF8696B"/>
        <color rgb="FFFCFCFF"/>
      </colorScale>
    </cfRule>
    <cfRule type="colorScale" priority="1429">
      <colorScale>
        <cfvo type="min"/>
        <cfvo type="max"/>
        <color rgb="FFFCFCFF"/>
        <color rgb="FFF8696B"/>
      </colorScale>
    </cfRule>
    <cfRule type="colorScale" priority="1428">
      <colorScale>
        <cfvo type="min"/>
        <cfvo type="max"/>
        <color rgb="FFFCFCFF"/>
        <color rgb="FFF8696B"/>
      </colorScale>
    </cfRule>
    <cfRule type="colorScale" priority="1427">
      <colorScale>
        <cfvo type="min"/>
        <cfvo type="max"/>
        <color rgb="FFF8696B"/>
        <color rgb="FFFCFCFF"/>
      </colorScale>
    </cfRule>
    <cfRule type="colorScale" priority="1426">
      <colorScale>
        <cfvo type="min"/>
        <cfvo type="max"/>
        <color rgb="FFFCFCFF"/>
        <color rgb="FFF8696B"/>
      </colorScale>
    </cfRule>
    <cfRule type="colorScale" priority="1425">
      <colorScale>
        <cfvo type="min"/>
        <cfvo type="max"/>
        <color rgb="FFFCFCFF"/>
        <color rgb="FFF8696B"/>
      </colorScale>
    </cfRule>
    <cfRule type="colorScale" priority="1424">
      <colorScale>
        <cfvo type="min"/>
        <cfvo type="max"/>
        <color rgb="FFFCFCFF"/>
        <color rgb="FFF8696B"/>
      </colorScale>
    </cfRule>
    <cfRule type="colorScale" priority="1107">
      <colorScale>
        <cfvo type="min"/>
        <cfvo type="max"/>
        <color rgb="FFFCFCFF"/>
        <color rgb="FFF8696B"/>
      </colorScale>
    </cfRule>
    <cfRule type="colorScale" priority="1108">
      <colorScale>
        <cfvo type="min"/>
        <cfvo type="max"/>
        <color rgb="FFF8696B"/>
        <color rgb="FFFCFCFF"/>
      </colorScale>
    </cfRule>
    <cfRule type="colorScale" priority="597">
      <colorScale>
        <cfvo type="min"/>
        <cfvo type="max"/>
        <color rgb="FFFCFCFF"/>
        <color rgb="FFF8696B"/>
      </colorScale>
    </cfRule>
    <cfRule type="colorScale" priority="596">
      <colorScale>
        <cfvo type="min"/>
        <cfvo type="max"/>
        <color rgb="FFFCFCFF"/>
        <color rgb="FFF8696B"/>
      </colorScale>
    </cfRule>
    <cfRule type="colorScale" priority="595">
      <colorScale>
        <cfvo type="min"/>
        <cfvo type="max"/>
        <color rgb="FFF8696B"/>
        <color rgb="FFFCFCFF"/>
      </colorScale>
    </cfRule>
    <cfRule type="colorScale" priority="594">
      <colorScale>
        <cfvo type="min"/>
        <cfvo type="max"/>
        <color rgb="FFFCFCFF"/>
        <color rgb="FFF8696B"/>
      </colorScale>
    </cfRule>
    <cfRule type="colorScale" priority="593">
      <colorScale>
        <cfvo type="min"/>
        <cfvo type="max"/>
        <color rgb="FFFCFCFF"/>
        <color rgb="FFF8696B"/>
      </colorScale>
    </cfRule>
    <cfRule type="colorScale" priority="625">
      <colorScale>
        <cfvo type="min"/>
        <cfvo type="max"/>
        <color rgb="FFFCFCFF"/>
        <color rgb="FFF8696B"/>
      </colorScale>
    </cfRule>
    <cfRule type="colorScale" priority="620">
      <colorScale>
        <cfvo type="min"/>
        <cfvo type="max"/>
        <color rgb="FFFCFCFF"/>
        <color rgb="FFF8696B"/>
      </colorScale>
    </cfRule>
    <cfRule type="colorScale" priority="619">
      <colorScale>
        <cfvo type="min"/>
        <cfvo type="max"/>
        <color rgb="FFF8696B"/>
        <color rgb="FFFCFCFF"/>
      </colorScale>
    </cfRule>
    <cfRule type="colorScale" priority="618">
      <colorScale>
        <cfvo type="min"/>
        <cfvo type="max"/>
        <color rgb="FFFCFCFF"/>
        <color rgb="FFF8696B"/>
      </colorScale>
    </cfRule>
    <cfRule type="colorScale" priority="617">
      <colorScale>
        <cfvo type="min"/>
        <cfvo type="max"/>
        <color rgb="FFFCFCFF"/>
        <color rgb="FFF8696B"/>
      </colorScale>
    </cfRule>
    <cfRule type="colorScale" priority="616">
      <colorScale>
        <cfvo type="min"/>
        <cfvo type="max"/>
        <color rgb="FFF8696B"/>
        <color rgb="FFFCFCFF"/>
      </colorScale>
    </cfRule>
    <cfRule type="colorScale" priority="615">
      <colorScale>
        <cfvo type="min"/>
        <cfvo type="max"/>
        <color rgb="FFFCFCFF"/>
        <color rgb="FFF8696B"/>
      </colorScale>
    </cfRule>
    <cfRule type="colorScale" priority="583">
      <colorScale>
        <cfvo type="min"/>
        <cfvo type="max"/>
        <color rgb="FFFCFCFF"/>
        <color rgb="FFF8696B"/>
      </colorScale>
    </cfRule>
    <cfRule type="colorScale" priority="578">
      <colorScale>
        <cfvo type="min"/>
        <cfvo type="max"/>
        <color rgb="FFFCFCFF"/>
        <color rgb="FFF8696B"/>
      </colorScale>
    </cfRule>
    <cfRule type="colorScale" priority="576">
      <colorScale>
        <cfvo type="min"/>
        <cfvo type="max"/>
        <color rgb="FFFCFCFF"/>
        <color rgb="FFF8696B"/>
      </colorScale>
    </cfRule>
    <cfRule type="colorScale" priority="575">
      <colorScale>
        <cfvo type="min"/>
        <cfvo type="max"/>
        <color rgb="FFFCFCFF"/>
        <color rgb="FFF8696B"/>
      </colorScale>
    </cfRule>
    <cfRule type="colorScale" priority="574">
      <colorScale>
        <cfvo type="min"/>
        <cfvo type="max"/>
        <color rgb="FFF8696B"/>
        <color rgb="FFFCFCFF"/>
      </colorScale>
    </cfRule>
    <cfRule type="colorScale" priority="573">
      <colorScale>
        <cfvo type="min"/>
        <cfvo type="max"/>
        <color rgb="FFFCFCFF"/>
        <color rgb="FFF8696B"/>
      </colorScale>
    </cfRule>
    <cfRule type="colorScale" priority="572">
      <colorScale>
        <cfvo type="min"/>
        <cfvo type="max"/>
        <color rgb="FFFCFCFF"/>
        <color rgb="FFF8696B"/>
      </colorScale>
    </cfRule>
    <cfRule type="colorScale" priority="571">
      <colorScale>
        <cfvo type="min"/>
        <cfvo type="max"/>
        <color rgb="FFF8696B"/>
        <color rgb="FFFCFCFF"/>
      </colorScale>
    </cfRule>
    <cfRule type="colorScale" priority="570">
      <colorScale>
        <cfvo type="min"/>
        <cfvo type="max"/>
        <color rgb="FFFCFCFF"/>
        <color rgb="FFF8696B"/>
      </colorScale>
    </cfRule>
    <cfRule type="colorScale" priority="569">
      <colorScale>
        <cfvo type="min"/>
        <cfvo type="max"/>
        <color rgb="FFFCFCFF"/>
        <color rgb="FFF8696B"/>
      </colorScale>
    </cfRule>
    <cfRule type="colorScale" priority="1041">
      <colorScale>
        <cfvo type="min"/>
        <cfvo type="max"/>
        <color rgb="FFF8696B"/>
        <color rgb="FFFCFCFF"/>
      </colorScale>
    </cfRule>
    <cfRule type="colorScale" priority="1040">
      <colorScale>
        <cfvo type="min"/>
        <cfvo type="max"/>
        <color rgb="FFFCFCFF"/>
        <color rgb="FFF8696B"/>
      </colorScale>
    </cfRule>
    <cfRule type="colorScale" priority="1039">
      <colorScale>
        <cfvo type="min"/>
        <cfvo type="max"/>
        <color rgb="FFFCFCFF"/>
        <color rgb="FFF8696B"/>
      </colorScale>
    </cfRule>
    <cfRule type="colorScale" priority="1038">
      <colorScale>
        <cfvo type="min"/>
        <cfvo type="max"/>
        <color rgb="FFFCFCFF"/>
        <color rgb="FFF8696B"/>
      </colorScale>
    </cfRule>
    <cfRule type="colorScale" priority="1109">
      <colorScale>
        <cfvo type="min"/>
        <cfvo type="max"/>
        <color rgb="FFFCFCFF"/>
        <color rgb="FFF8696B"/>
      </colorScale>
    </cfRule>
    <cfRule type="colorScale" priority="568">
      <colorScale>
        <cfvo type="min"/>
        <cfvo type="max"/>
        <color rgb="FFFCFCFF"/>
        <color rgb="FFF8696B"/>
      </colorScale>
    </cfRule>
    <cfRule type="colorScale" priority="614">
      <colorScale>
        <cfvo type="min"/>
        <cfvo type="max"/>
        <color rgb="FFFCFCFF"/>
        <color rgb="FFF8696B"/>
      </colorScale>
    </cfRule>
    <cfRule type="colorScale" priority="613">
      <colorScale>
        <cfvo type="min"/>
        <cfvo type="max"/>
        <color rgb="FFF8696B"/>
        <color rgb="FFFCFCFF"/>
      </colorScale>
    </cfRule>
    <cfRule type="colorScale" priority="1011">
      <colorScale>
        <cfvo type="min"/>
        <cfvo type="max"/>
        <color rgb="FFFCFCFF"/>
        <color rgb="FFF8696B"/>
      </colorScale>
    </cfRule>
    <cfRule type="colorScale" priority="1021">
      <colorScale>
        <cfvo type="min"/>
        <cfvo type="max"/>
        <color rgb="FFFCFCFF"/>
        <color rgb="FFF8696B"/>
      </colorScale>
    </cfRule>
    <cfRule type="colorScale" priority="1022">
      <colorScale>
        <cfvo type="min"/>
        <cfvo type="max"/>
        <color rgb="FFFCFCFF"/>
        <color rgb="FFF8696B"/>
      </colorScale>
    </cfRule>
    <cfRule type="colorScale" priority="1023">
      <colorScale>
        <cfvo type="min"/>
        <cfvo type="max"/>
        <color rgb="FFF8696B"/>
        <color rgb="FFFCFCFF"/>
      </colorScale>
    </cfRule>
    <cfRule type="colorScale" priority="1024">
      <colorScale>
        <cfvo type="min"/>
        <cfvo type="max"/>
        <color rgb="FFFCFCFF"/>
        <color rgb="FFF8696B"/>
      </colorScale>
    </cfRule>
    <cfRule type="colorScale" priority="612">
      <colorScale>
        <cfvo type="min"/>
        <cfvo type="max"/>
        <color rgb="FFFCFCFF"/>
        <color rgb="FFF8696B"/>
      </colorScale>
    </cfRule>
    <cfRule type="colorScale" priority="611">
      <colorScale>
        <cfvo type="min"/>
        <cfvo type="max"/>
        <color rgb="FFFCFCFF"/>
        <color rgb="FFF8696B"/>
      </colorScale>
    </cfRule>
    <cfRule type="colorScale" priority="1025">
      <colorScale>
        <cfvo type="min"/>
        <cfvo type="max"/>
        <color rgb="FFFCFCFF"/>
        <color rgb="FFF8696B"/>
      </colorScale>
    </cfRule>
    <cfRule type="colorScale" priority="610">
      <colorScale>
        <cfvo type="min"/>
        <cfvo type="max"/>
        <color rgb="FFFCFCFF"/>
        <color rgb="FFF8696B"/>
      </colorScale>
    </cfRule>
    <cfRule type="colorScale" priority="1048">
      <colorScale>
        <cfvo type="min"/>
        <cfvo type="max"/>
        <color rgb="FFFCFCFF"/>
        <color rgb="FFF8696B"/>
      </colorScale>
    </cfRule>
  </conditionalFormatting>
  <conditionalFormatting sqref="X33:X36">
    <cfRule type="colorScale" priority="1420">
      <colorScale>
        <cfvo type="min"/>
        <cfvo type="max"/>
        <color rgb="FFF8696B"/>
        <color rgb="FFFCFCFF"/>
      </colorScale>
    </cfRule>
    <cfRule type="colorScale" priority="562">
      <colorScale>
        <cfvo type="min"/>
        <cfvo type="max"/>
        <color rgb="FFFCFCFF"/>
        <color rgb="FFF8696B"/>
      </colorScale>
    </cfRule>
    <cfRule type="colorScale" priority="563">
      <colorScale>
        <cfvo type="min"/>
        <cfvo type="max"/>
        <color rgb="FFFCFCFF"/>
        <color rgb="FFF8696B"/>
      </colorScale>
    </cfRule>
    <cfRule type="colorScale" priority="564">
      <colorScale>
        <cfvo type="min"/>
        <cfvo type="max"/>
        <color rgb="FFF8696B"/>
        <color rgb="FFFCFCFF"/>
      </colorScale>
    </cfRule>
    <cfRule type="colorScale" priority="604">
      <colorScale>
        <cfvo type="min"/>
        <cfvo type="max"/>
        <color rgb="FFFCFCFF"/>
        <color rgb="FFF8696B"/>
      </colorScale>
    </cfRule>
    <cfRule type="colorScale" priority="605">
      <colorScale>
        <cfvo type="min"/>
        <cfvo type="max"/>
        <color rgb="FFFCFCFF"/>
        <color rgb="FFF8696B"/>
      </colorScale>
    </cfRule>
    <cfRule type="colorScale" priority="1032">
      <colorScale>
        <cfvo type="min"/>
        <cfvo type="max"/>
        <color rgb="FFFCFCFF"/>
        <color rgb="FFF8696B"/>
      </colorScale>
    </cfRule>
    <cfRule type="colorScale" priority="1033">
      <colorScale>
        <cfvo type="min"/>
        <cfvo type="max"/>
        <color rgb="FFFCFCFF"/>
        <color rgb="FFF8696B"/>
      </colorScale>
    </cfRule>
    <cfRule type="colorScale" priority="606">
      <colorScale>
        <cfvo type="min"/>
        <cfvo type="max"/>
        <color rgb="FFF8696B"/>
        <color rgb="FFFCFCFF"/>
      </colorScale>
    </cfRule>
    <cfRule type="colorScale" priority="1418">
      <colorScale>
        <cfvo type="min"/>
        <cfvo type="max"/>
        <color rgb="FFFCFCFF"/>
        <color rgb="FFF8696B"/>
      </colorScale>
    </cfRule>
    <cfRule type="colorScale" priority="1419">
      <colorScale>
        <cfvo type="min"/>
        <cfvo type="max"/>
        <color rgb="FFFCFCFF"/>
        <color rgb="FFF8696B"/>
      </colorScale>
    </cfRule>
    <cfRule type="colorScale" priority="1460">
      <colorScale>
        <cfvo type="min"/>
        <cfvo type="max"/>
        <color rgb="FFFCFCFF"/>
        <color rgb="FFF8696B"/>
      </colorScale>
    </cfRule>
    <cfRule type="colorScale" priority="1461">
      <colorScale>
        <cfvo type="min"/>
        <cfvo type="max"/>
        <color rgb="FFFCFCFF"/>
        <color rgb="FFF8696B"/>
      </colorScale>
    </cfRule>
    <cfRule type="colorScale" priority="1462">
      <colorScale>
        <cfvo type="min"/>
        <cfvo type="max"/>
        <color rgb="FFF8696B"/>
        <color rgb="FFFCFCFF"/>
      </colorScale>
    </cfRule>
    <cfRule type="colorScale" priority="1507">
      <colorScale>
        <cfvo type="min"/>
        <cfvo type="max"/>
        <color rgb="FFFCFCFF"/>
        <color rgb="FFF8696B"/>
      </colorScale>
    </cfRule>
    <cfRule type="colorScale" priority="1508">
      <colorScale>
        <cfvo type="min"/>
        <cfvo type="max"/>
        <color rgb="FFFCFCFF"/>
        <color rgb="FFF8696B"/>
      </colorScale>
    </cfRule>
    <cfRule type="colorScale" priority="1509">
      <colorScale>
        <cfvo type="min"/>
        <cfvo type="max"/>
        <color rgb="FFF8696B"/>
        <color rgb="FFFCFCFF"/>
      </colorScale>
    </cfRule>
    <cfRule type="colorScale" priority="1034">
      <colorScale>
        <cfvo type="min"/>
        <cfvo type="max"/>
        <color rgb="FFF8696B"/>
        <color rgb="FFFCFCFF"/>
      </colorScale>
    </cfRule>
    <cfRule type="colorScale" priority="1510">
      <colorScale>
        <cfvo type="min"/>
        <cfvo type="max"/>
        <color rgb="FFFCFCFF"/>
        <color rgb="FFF8696B"/>
      </colorScale>
    </cfRule>
    <cfRule type="colorScale" priority="1511">
      <colorScale>
        <cfvo type="min"/>
        <cfvo type="max"/>
        <color rgb="FFFCFCFF"/>
        <color rgb="FFF8696B"/>
      </colorScale>
    </cfRule>
    <cfRule type="colorScale" priority="1515">
      <colorScale>
        <cfvo type="min"/>
        <cfvo type="max"/>
        <color rgb="FFFCFCFF"/>
        <color rgb="FFF8696B"/>
      </colorScale>
    </cfRule>
    <cfRule type="colorScale" priority="1503">
      <colorScale>
        <cfvo type="min"/>
        <cfvo type="max"/>
        <color rgb="FFFCFCFF"/>
        <color rgb="FFF8696B"/>
      </colorScale>
    </cfRule>
    <cfRule type="colorScale" priority="1504">
      <colorScale>
        <cfvo type="min"/>
        <cfvo type="max"/>
        <color rgb="FFFCFCFF"/>
        <color rgb="FFF8696B"/>
      </colorScale>
    </cfRule>
    <cfRule type="colorScale" priority="1505">
      <colorScale>
        <cfvo type="min"/>
        <cfvo type="max"/>
        <color rgb="FFFCFCFF"/>
        <color rgb="FFF8696B"/>
      </colorScale>
    </cfRule>
    <cfRule type="colorScale" priority="1506">
      <colorScale>
        <cfvo type="min"/>
        <cfvo type="max"/>
        <color rgb="FFFCFCFF"/>
        <color rgb="FFF8696B"/>
      </colorScale>
    </cfRule>
    <cfRule type="colorScale" priority="1516">
      <colorScale>
        <cfvo type="min"/>
        <cfvo type="max"/>
        <color rgb="FFFCFCFF"/>
        <color rgb="FFF8696B"/>
      </colorScale>
    </cfRule>
    <cfRule type="colorScale" priority="1088">
      <colorScale>
        <cfvo type="min"/>
        <cfvo type="max"/>
        <color rgb="FFFCFCFF"/>
        <color rgb="FFF8696B"/>
      </colorScale>
    </cfRule>
    <cfRule type="colorScale" priority="1087">
      <colorScale>
        <cfvo type="min"/>
        <cfvo type="max"/>
        <color rgb="FFFCFCFF"/>
        <color rgb="FFF8696B"/>
      </colorScale>
    </cfRule>
    <cfRule type="colorScale" priority="1083">
      <colorScale>
        <cfvo type="min"/>
        <cfvo type="max"/>
        <color rgb="FFFCFCFF"/>
        <color rgb="FFF8696B"/>
      </colorScale>
    </cfRule>
    <cfRule type="colorScale" priority="1082">
      <colorScale>
        <cfvo type="min"/>
        <cfvo type="max"/>
        <color rgb="FFFCFCFF"/>
        <color rgb="FFF8696B"/>
      </colorScale>
    </cfRule>
    <cfRule type="colorScale" priority="1081">
      <colorScale>
        <cfvo type="min"/>
        <cfvo type="max"/>
        <color rgb="FFF8696B"/>
        <color rgb="FFFCFCFF"/>
      </colorScale>
    </cfRule>
    <cfRule type="colorScale" priority="647">
      <colorScale>
        <cfvo type="min"/>
        <cfvo type="max"/>
        <color rgb="FFFCFCFF"/>
        <color rgb="FFF8696B"/>
      </colorScale>
    </cfRule>
    <cfRule type="colorScale" priority="648">
      <colorScale>
        <cfvo type="min"/>
        <cfvo type="max"/>
        <color rgb="FFFCFCFF"/>
        <color rgb="FFF8696B"/>
      </colorScale>
    </cfRule>
    <cfRule type="colorScale" priority="649">
      <colorScale>
        <cfvo type="min"/>
        <cfvo type="max"/>
        <color rgb="FFFCFCFF"/>
        <color rgb="FFF8696B"/>
      </colorScale>
    </cfRule>
    <cfRule type="colorScale" priority="650">
      <colorScale>
        <cfvo type="min"/>
        <cfvo type="max"/>
        <color rgb="FFFCFCFF"/>
        <color rgb="FFF8696B"/>
      </colorScale>
    </cfRule>
    <cfRule type="colorScale" priority="651">
      <colorScale>
        <cfvo type="min"/>
        <cfvo type="max"/>
        <color rgb="FFFCFCFF"/>
        <color rgb="FFF8696B"/>
      </colorScale>
    </cfRule>
    <cfRule type="colorScale" priority="652">
      <colorScale>
        <cfvo type="min"/>
        <cfvo type="max"/>
        <color rgb="FFFCFCFF"/>
        <color rgb="FFF8696B"/>
      </colorScale>
    </cfRule>
    <cfRule type="colorScale" priority="653">
      <colorScale>
        <cfvo type="min"/>
        <cfvo type="max"/>
        <color rgb="FFF8696B"/>
        <color rgb="FFFCFCFF"/>
      </colorScale>
    </cfRule>
    <cfRule type="colorScale" priority="654">
      <colorScale>
        <cfvo type="min"/>
        <cfvo type="max"/>
        <color rgb="FFFCFCFF"/>
        <color rgb="FFF8696B"/>
      </colorScale>
    </cfRule>
    <cfRule type="colorScale" priority="655">
      <colorScale>
        <cfvo type="min"/>
        <cfvo type="max"/>
        <color rgb="FFFCFCFF"/>
        <color rgb="FFF8696B"/>
      </colorScale>
    </cfRule>
    <cfRule type="colorScale" priority="1080">
      <colorScale>
        <cfvo type="min"/>
        <cfvo type="max"/>
        <color rgb="FFFCFCFF"/>
        <color rgb="FFF8696B"/>
      </colorScale>
    </cfRule>
    <cfRule type="colorScale" priority="992">
      <colorScale>
        <cfvo type="min"/>
        <cfvo type="max"/>
        <color rgb="FFF8696B"/>
        <color rgb="FFFCFCFF"/>
      </colorScale>
    </cfRule>
    <cfRule type="colorScale" priority="991">
      <colorScale>
        <cfvo type="min"/>
        <cfvo type="max"/>
        <color rgb="FFFCFCFF"/>
        <color rgb="FFF8696B"/>
      </colorScale>
    </cfRule>
    <cfRule type="colorScale" priority="990">
      <colorScale>
        <cfvo type="min"/>
        <cfvo type="max"/>
        <color rgb="FFFCFCFF"/>
        <color rgb="FFF8696B"/>
      </colorScale>
    </cfRule>
    <cfRule type="colorScale" priority="1079">
      <colorScale>
        <cfvo type="min"/>
        <cfvo type="max"/>
        <color rgb="FFFCFCFF"/>
        <color rgb="FFF8696B"/>
      </colorScale>
    </cfRule>
    <cfRule type="colorScale" priority="1078">
      <colorScale>
        <cfvo type="min"/>
        <cfvo type="max"/>
        <color rgb="FFFCFCFF"/>
        <color rgb="FFF8696B"/>
      </colorScale>
    </cfRule>
    <cfRule type="colorScale" priority="659">
      <colorScale>
        <cfvo type="min"/>
        <cfvo type="max"/>
        <color rgb="FFFCFCFF"/>
        <color rgb="FFF8696B"/>
      </colorScale>
    </cfRule>
    <cfRule type="colorScale" priority="660">
      <colorScale>
        <cfvo type="min"/>
        <cfvo type="max"/>
        <color rgb="FFFCFCFF"/>
        <color rgb="FFF8696B"/>
      </colorScale>
    </cfRule>
    <cfRule type="colorScale" priority="1077">
      <colorScale>
        <cfvo type="min"/>
        <cfvo type="max"/>
        <color rgb="FFFCFCFF"/>
        <color rgb="FFF8696B"/>
      </colorScale>
    </cfRule>
    <cfRule type="colorScale" priority="1076">
      <colorScale>
        <cfvo type="min"/>
        <cfvo type="max"/>
        <color rgb="FFFCFCFF"/>
        <color rgb="FFF8696B"/>
      </colorScale>
    </cfRule>
    <cfRule type="colorScale" priority="1075">
      <colorScale>
        <cfvo type="min"/>
        <cfvo type="max"/>
        <color rgb="FFFCFCFF"/>
        <color rgb="FFF8696B"/>
      </colorScale>
    </cfRule>
  </conditionalFormatting>
  <conditionalFormatting sqref="X34:X36">
    <cfRule type="colorScale" priority="1072">
      <colorScale>
        <cfvo type="min"/>
        <cfvo type="max"/>
        <color rgb="FFFCFCFF"/>
        <color rgb="FFF8696B"/>
      </colorScale>
    </cfRule>
    <cfRule type="colorScale" priority="1073">
      <colorScale>
        <cfvo type="min"/>
        <cfvo type="max"/>
        <color rgb="FFFCFCFF"/>
        <color rgb="FFF8696B"/>
      </colorScale>
    </cfRule>
    <cfRule type="colorScale" priority="1074">
      <colorScale>
        <cfvo type="min"/>
        <cfvo type="max"/>
        <color rgb="FFF8696B"/>
        <color rgb="FFFCFCFF"/>
      </colorScale>
    </cfRule>
    <cfRule type="colorScale" priority="1071">
      <colorScale>
        <cfvo type="min"/>
        <cfvo type="max"/>
        <color rgb="FFFCFCFF"/>
        <color rgb="FFF8696B"/>
      </colorScale>
    </cfRule>
    <cfRule type="colorScale" priority="1070">
      <colorScale>
        <cfvo type="min"/>
        <cfvo type="max"/>
        <color rgb="FFFCFCFF"/>
        <color rgb="FFF8696B"/>
      </colorScale>
    </cfRule>
    <cfRule type="colorScale" priority="1069">
      <colorScale>
        <cfvo type="min"/>
        <cfvo type="max"/>
        <color rgb="FFFCFCFF"/>
        <color rgb="FFF8696B"/>
      </colorScale>
    </cfRule>
    <cfRule type="colorScale" priority="658">
      <colorScale>
        <cfvo type="min"/>
        <cfvo type="max"/>
        <color rgb="FFF8696B"/>
        <color rgb="FFFCFCFF"/>
      </colorScale>
    </cfRule>
    <cfRule type="colorScale" priority="657">
      <colorScale>
        <cfvo type="min"/>
        <cfvo type="max"/>
        <color rgb="FFFCFCFF"/>
        <color rgb="FFF8696B"/>
      </colorScale>
    </cfRule>
    <cfRule type="colorScale" priority="656">
      <colorScale>
        <cfvo type="min"/>
        <cfvo type="max"/>
        <color rgb="FFFCFCFF"/>
        <color rgb="FFF8696B"/>
      </colorScale>
    </cfRule>
    <cfRule type="colorScale" priority="646">
      <colorScale>
        <cfvo type="min"/>
        <cfvo type="max"/>
        <color rgb="FFF8696B"/>
        <color rgb="FFFCFCFF"/>
      </colorScale>
    </cfRule>
    <cfRule type="colorScale" priority="645">
      <colorScale>
        <cfvo type="min"/>
        <cfvo type="max"/>
        <color rgb="FFFCFCFF"/>
        <color rgb="FFF8696B"/>
      </colorScale>
    </cfRule>
    <cfRule type="colorScale" priority="644">
      <colorScale>
        <cfvo type="min"/>
        <cfvo type="max"/>
        <color rgb="FFFCFCFF"/>
        <color rgb="FFF8696B"/>
      </colorScale>
    </cfRule>
    <cfRule type="colorScale" priority="1084">
      <colorScale>
        <cfvo type="min"/>
        <cfvo type="max"/>
        <color rgb="FFFCFCFF"/>
        <color rgb="FFF8696B"/>
      </colorScale>
    </cfRule>
    <cfRule type="colorScale" priority="1085">
      <colorScale>
        <cfvo type="min"/>
        <cfvo type="max"/>
        <color rgb="FFFCFCFF"/>
        <color rgb="FFF8696B"/>
      </colorScale>
    </cfRule>
    <cfRule type="colorScale" priority="1086">
      <colorScale>
        <cfvo type="min"/>
        <cfvo type="max"/>
        <color rgb="FFF8696B"/>
        <color rgb="FFFCFCFF"/>
      </colorScale>
    </cfRule>
    <cfRule type="colorScale" priority="643">
      <colorScale>
        <cfvo type="min"/>
        <cfvo type="max"/>
        <color rgb="FFFCFCFF"/>
        <color rgb="FFF8696B"/>
      </colorScale>
    </cfRule>
    <cfRule type="colorScale" priority="642">
      <colorScale>
        <cfvo type="min"/>
        <cfvo type="max"/>
        <color rgb="FFFCFCFF"/>
        <color rgb="FFF8696B"/>
      </colorScale>
    </cfRule>
    <cfRule type="colorScale" priority="641">
      <colorScale>
        <cfvo type="min"/>
        <cfvo type="max"/>
        <color rgb="FFFCFCFF"/>
        <color rgb="FFF8696B"/>
      </colorScale>
    </cfRule>
    <cfRule type="colorScale" priority="1502">
      <colorScale>
        <cfvo type="min"/>
        <cfvo type="max"/>
        <color rgb="FFF8696B"/>
        <color rgb="FFFCFCFF"/>
      </colorScale>
    </cfRule>
    <cfRule type="colorScale" priority="1514">
      <colorScale>
        <cfvo type="min"/>
        <cfvo type="max"/>
        <color rgb="FFF8696B"/>
        <color rgb="FFFCFCFF"/>
      </colorScale>
    </cfRule>
    <cfRule type="colorScale" priority="1513">
      <colorScale>
        <cfvo type="min"/>
        <cfvo type="max"/>
        <color rgb="FFFCFCFF"/>
        <color rgb="FFF8696B"/>
      </colorScale>
    </cfRule>
    <cfRule type="colorScale" priority="1512">
      <colorScale>
        <cfvo type="min"/>
        <cfvo type="max"/>
        <color rgb="FFFCFCFF"/>
        <color rgb="FFF8696B"/>
      </colorScale>
    </cfRule>
    <cfRule type="colorScale" priority="1501">
      <colorScale>
        <cfvo type="min"/>
        <cfvo type="max"/>
        <color rgb="FFFCFCFF"/>
        <color rgb="FFF8696B"/>
      </colorScale>
    </cfRule>
    <cfRule type="colorScale" priority="1500">
      <colorScale>
        <cfvo type="min"/>
        <cfvo type="max"/>
        <color rgb="FFFCFCFF"/>
        <color rgb="FFF8696B"/>
      </colorScale>
    </cfRule>
    <cfRule type="colorScale" priority="1499">
      <colorScale>
        <cfvo type="min"/>
        <cfvo type="max"/>
        <color rgb="FFFCFCFF"/>
        <color rgb="FFF8696B"/>
      </colorScale>
    </cfRule>
    <cfRule type="colorScale" priority="1498">
      <colorScale>
        <cfvo type="min"/>
        <cfvo type="max"/>
        <color rgb="FFFCFCFF"/>
        <color rgb="FFF8696B"/>
      </colorScale>
    </cfRule>
    <cfRule type="colorScale" priority="1497">
      <colorScale>
        <cfvo type="min"/>
        <cfvo type="max"/>
        <color rgb="FFFCFCFF"/>
        <color rgb="FFF8696B"/>
      </colorScale>
    </cfRule>
  </conditionalFormatting>
  <conditionalFormatting sqref="X35:X36">
    <cfRule type="colorScale" priority="1062">
      <colorScale>
        <cfvo type="min"/>
        <cfvo type="max"/>
        <color rgb="FFF8696B"/>
        <color rgb="FFFCFCFF"/>
      </colorScale>
    </cfRule>
    <cfRule type="colorScale" priority="987">
      <colorScale>
        <cfvo type="min"/>
        <cfvo type="max"/>
        <color rgb="FFFCFCFF"/>
        <color rgb="FFF8696B"/>
      </colorScale>
    </cfRule>
    <cfRule type="colorScale" priority="988">
      <colorScale>
        <cfvo type="min"/>
        <cfvo type="max"/>
        <color rgb="FFFCFCFF"/>
        <color rgb="FFF8696B"/>
      </colorScale>
    </cfRule>
    <cfRule type="colorScale" priority="989">
      <colorScale>
        <cfvo type="min"/>
        <cfvo type="max"/>
        <color rgb="FFFCFCFF"/>
        <color rgb="FFF8696B"/>
      </colorScale>
    </cfRule>
    <cfRule type="colorScale" priority="1061">
      <colorScale>
        <cfvo type="min"/>
        <cfvo type="max"/>
        <color rgb="FFFCFCFF"/>
        <color rgb="FFF8696B"/>
      </colorScale>
    </cfRule>
    <cfRule type="colorScale" priority="1060">
      <colorScale>
        <cfvo type="min"/>
        <cfvo type="max"/>
        <color rgb="FFFCFCFF"/>
        <color rgb="FFF8696B"/>
      </colorScale>
    </cfRule>
    <cfRule type="colorScale" priority="1028">
      <colorScale>
        <cfvo type="min"/>
        <cfvo type="max"/>
        <color rgb="FFF8696B"/>
        <color rgb="FFFCFCFF"/>
      </colorScale>
    </cfRule>
    <cfRule type="colorScale" priority="1026">
      <colorScale>
        <cfvo type="min"/>
        <cfvo type="max"/>
        <color rgb="FFFCFCFF"/>
        <color rgb="FFF8696B"/>
      </colorScale>
    </cfRule>
    <cfRule type="colorScale" priority="1029">
      <colorScale>
        <cfvo type="min"/>
        <cfvo type="max"/>
        <color rgb="FFFCFCFF"/>
        <color rgb="FFF8696B"/>
      </colorScale>
    </cfRule>
    <cfRule type="colorScale" priority="579">
      <colorScale>
        <cfvo type="min"/>
        <cfvo type="max"/>
        <color rgb="FFFCFCFF"/>
        <color rgb="FFF8696B"/>
      </colorScale>
    </cfRule>
    <cfRule type="colorScale" priority="580">
      <colorScale>
        <cfvo type="min"/>
        <cfvo type="max"/>
        <color rgb="FFFCFCFF"/>
        <color rgb="FFF8696B"/>
      </colorScale>
    </cfRule>
    <cfRule type="colorScale" priority="581">
      <colorScale>
        <cfvo type="min"/>
        <cfvo type="max"/>
        <color rgb="FFFCFCFF"/>
        <color rgb="FFF8696B"/>
      </colorScale>
    </cfRule>
    <cfRule type="colorScale" priority="1052">
      <colorScale>
        <cfvo type="min"/>
        <cfvo type="max"/>
        <color rgb="FFF8696B"/>
        <color rgb="FFFCFCFF"/>
      </colorScale>
    </cfRule>
    <cfRule type="colorScale" priority="1051">
      <colorScale>
        <cfvo type="min"/>
        <cfvo type="max"/>
        <color rgb="FFFCFCFF"/>
        <color rgb="FFF8696B"/>
      </colorScale>
    </cfRule>
    <cfRule type="colorScale" priority="1050">
      <colorScale>
        <cfvo type="min"/>
        <cfvo type="max"/>
        <color rgb="FFFCFCFF"/>
        <color rgb="FFF8696B"/>
      </colorScale>
    </cfRule>
    <cfRule type="colorScale" priority="1049">
      <colorScale>
        <cfvo type="min"/>
        <cfvo type="max"/>
        <color rgb="FFFCFCFF"/>
        <color rgb="FFF8696B"/>
      </colorScale>
    </cfRule>
    <cfRule type="colorScale" priority="1027">
      <colorScale>
        <cfvo type="min"/>
        <cfvo type="max"/>
        <color rgb="FFFCFCFF"/>
        <color rgb="FFF8696B"/>
      </colorScale>
    </cfRule>
    <cfRule type="colorScale" priority="582">
      <colorScale>
        <cfvo type="min"/>
        <cfvo type="max"/>
        <color rgb="FFF8696B"/>
        <color rgb="FFFCFCFF"/>
      </colorScale>
    </cfRule>
    <cfRule type="colorScale" priority="590">
      <colorScale>
        <cfvo type="min"/>
        <cfvo type="max"/>
        <color rgb="FFFCFCFF"/>
        <color rgb="FFF8696B"/>
      </colorScale>
    </cfRule>
    <cfRule type="colorScale" priority="1007">
      <colorScale>
        <cfvo type="min"/>
        <cfvo type="max"/>
        <color rgb="FFFCFCFF"/>
        <color rgb="FFF8696B"/>
      </colorScale>
    </cfRule>
    <cfRule type="colorScale" priority="591">
      <colorScale>
        <cfvo type="min"/>
        <cfvo type="max"/>
        <color rgb="FFFCFCFF"/>
        <color rgb="FFF8696B"/>
      </colorScale>
    </cfRule>
    <cfRule type="colorScale" priority="621">
      <colorScale>
        <cfvo type="min"/>
        <cfvo type="max"/>
        <color rgb="FFFCFCFF"/>
        <color rgb="FFF8696B"/>
      </colorScale>
    </cfRule>
    <cfRule type="colorScale" priority="1008">
      <colorScale>
        <cfvo type="min"/>
        <cfvo type="max"/>
        <color rgb="FFFCFCFF"/>
        <color rgb="FFF8696B"/>
      </colorScale>
    </cfRule>
    <cfRule type="colorScale" priority="1009">
      <colorScale>
        <cfvo type="min"/>
        <cfvo type="max"/>
        <color rgb="FFFCFCFF"/>
        <color rgb="FFF8696B"/>
      </colorScale>
    </cfRule>
    <cfRule type="colorScale" priority="1010">
      <colorScale>
        <cfvo type="min"/>
        <cfvo type="max"/>
        <color rgb="FFF8696B"/>
        <color rgb="FFFCFCFF"/>
      </colorScale>
    </cfRule>
    <cfRule type="colorScale" priority="622">
      <colorScale>
        <cfvo type="min"/>
        <cfvo type="max"/>
        <color rgb="FFFCFCFF"/>
        <color rgb="FFF8696B"/>
      </colorScale>
    </cfRule>
    <cfRule type="colorScale" priority="634">
      <colorScale>
        <cfvo type="min"/>
        <cfvo type="max"/>
        <color rgb="FFF8696B"/>
        <color rgb="FFFCFCFF"/>
      </colorScale>
    </cfRule>
    <cfRule type="colorScale" priority="633">
      <colorScale>
        <cfvo type="min"/>
        <cfvo type="max"/>
        <color rgb="FFFCFCFF"/>
        <color rgb="FFF8696B"/>
      </colorScale>
    </cfRule>
    <cfRule type="colorScale" priority="632">
      <colorScale>
        <cfvo type="min"/>
        <cfvo type="max"/>
        <color rgb="FFFCFCFF"/>
        <color rgb="FFF8696B"/>
      </colorScale>
    </cfRule>
    <cfRule type="colorScale" priority="623">
      <colorScale>
        <cfvo type="min"/>
        <cfvo type="max"/>
        <color rgb="FFFCFCFF"/>
        <color rgb="FFF8696B"/>
      </colorScale>
    </cfRule>
    <cfRule type="colorScale" priority="624">
      <colorScale>
        <cfvo type="min"/>
        <cfvo type="max"/>
        <color rgb="FFF8696B"/>
        <color rgb="FFFCFCFF"/>
      </colorScale>
    </cfRule>
    <cfRule type="colorScale" priority="592">
      <colorScale>
        <cfvo type="min"/>
        <cfvo type="max"/>
        <color rgb="FFF8696B"/>
        <color rgb="FFFCFCFF"/>
      </colorScale>
    </cfRule>
    <cfRule type="colorScale" priority="598">
      <colorScale>
        <cfvo type="min"/>
        <cfvo type="max"/>
        <color rgb="FFFCFCFF"/>
        <color rgb="FFF8696B"/>
      </colorScale>
    </cfRule>
    <cfRule type="colorScale" priority="599">
      <colorScale>
        <cfvo type="min"/>
        <cfvo type="max"/>
        <color rgb="FFFCFCFF"/>
        <color rgb="FFF8696B"/>
      </colorScale>
    </cfRule>
    <cfRule type="colorScale" priority="600">
      <colorScale>
        <cfvo type="min"/>
        <cfvo type="max"/>
        <color rgb="FFF8696B"/>
        <color rgb="FFFCFCFF"/>
      </colorScale>
    </cfRule>
    <cfRule type="colorScale" priority="986">
      <colorScale>
        <cfvo type="min"/>
        <cfvo type="max"/>
        <color rgb="FFF8696B"/>
        <color rgb="FFFCFCFF"/>
      </colorScale>
    </cfRule>
    <cfRule type="colorScale" priority="601">
      <colorScale>
        <cfvo type="min"/>
        <cfvo type="max"/>
        <color rgb="FFFCFCFF"/>
        <color rgb="FFF8696B"/>
      </colorScale>
    </cfRule>
    <cfRule type="colorScale" priority="602">
      <colorScale>
        <cfvo type="min"/>
        <cfvo type="max"/>
        <color rgb="FFFCFCFF"/>
        <color rgb="FFF8696B"/>
      </colorScale>
    </cfRule>
    <cfRule type="colorScale" priority="603">
      <colorScale>
        <cfvo type="min"/>
        <cfvo type="max"/>
        <color rgb="FFFCFCFF"/>
        <color rgb="FFF8696B"/>
      </colorScale>
    </cfRule>
    <cfRule type="colorScale" priority="559">
      <colorScale>
        <cfvo type="min"/>
        <cfvo type="max"/>
        <color rgb="FFFCFCFF"/>
        <color rgb="FFF8696B"/>
      </colorScale>
    </cfRule>
    <cfRule type="colorScale" priority="1490">
      <colorScale>
        <cfvo type="min"/>
        <cfvo type="max"/>
        <color rgb="FFF8696B"/>
        <color rgb="FFFCFCFF"/>
      </colorScale>
    </cfRule>
    <cfRule type="colorScale" priority="1489">
      <colorScale>
        <cfvo type="min"/>
        <cfvo type="max"/>
        <color rgb="FFFCFCFF"/>
        <color rgb="FFF8696B"/>
      </colorScale>
    </cfRule>
    <cfRule type="colorScale" priority="1488">
      <colorScale>
        <cfvo type="min"/>
        <cfvo type="max"/>
        <color rgb="FFFCFCFF"/>
        <color rgb="FFF8696B"/>
      </colorScale>
    </cfRule>
    <cfRule type="colorScale" priority="558">
      <colorScale>
        <cfvo type="min"/>
        <cfvo type="max"/>
        <color rgb="FFF8696B"/>
        <color rgb="FFFCFCFF"/>
      </colorScale>
    </cfRule>
    <cfRule type="colorScale" priority="984">
      <colorScale>
        <cfvo type="min"/>
        <cfvo type="max"/>
        <color rgb="FFFCFCFF"/>
        <color rgb="FFF8696B"/>
      </colorScale>
    </cfRule>
    <cfRule type="colorScale" priority="985">
      <colorScale>
        <cfvo type="min"/>
        <cfvo type="max"/>
        <color rgb="FFFCFCFF"/>
        <color rgb="FFF8696B"/>
      </colorScale>
    </cfRule>
    <cfRule type="colorScale" priority="557">
      <colorScale>
        <cfvo type="min"/>
        <cfvo type="max"/>
        <color rgb="FFFCFCFF"/>
        <color rgb="FFF8696B"/>
      </colorScale>
    </cfRule>
    <cfRule type="colorScale" priority="556">
      <colorScale>
        <cfvo type="min"/>
        <cfvo type="max"/>
        <color rgb="FFFCFCFF"/>
        <color rgb="FFF8696B"/>
      </colorScale>
    </cfRule>
    <cfRule type="colorScale" priority="561">
      <colorScale>
        <cfvo type="min"/>
        <cfvo type="max"/>
        <color rgb="FFFCFCFF"/>
        <color rgb="FFF8696B"/>
      </colorScale>
    </cfRule>
    <cfRule type="colorScale" priority="1480">
      <colorScale>
        <cfvo type="min"/>
        <cfvo type="max"/>
        <color rgb="FFF8696B"/>
        <color rgb="FFFCFCFF"/>
      </colorScale>
    </cfRule>
    <cfRule type="colorScale" priority="1479">
      <colorScale>
        <cfvo type="min"/>
        <cfvo type="max"/>
        <color rgb="FFFCFCFF"/>
        <color rgb="FFF8696B"/>
      </colorScale>
    </cfRule>
    <cfRule type="colorScale" priority="1478">
      <colorScale>
        <cfvo type="min"/>
        <cfvo type="max"/>
        <color rgb="FFFCFCFF"/>
        <color rgb="FFF8696B"/>
      </colorScale>
    </cfRule>
    <cfRule type="colorScale" priority="1477">
      <colorScale>
        <cfvo type="min"/>
        <cfvo type="max"/>
        <color rgb="FFFCFCFF"/>
        <color rgb="FFF8696B"/>
      </colorScale>
    </cfRule>
    <cfRule type="colorScale" priority="1030">
      <colorScale>
        <cfvo type="min"/>
        <cfvo type="max"/>
        <color rgb="FFFCFCFF"/>
        <color rgb="FFF8696B"/>
      </colorScale>
    </cfRule>
    <cfRule type="colorScale" priority="1031">
      <colorScale>
        <cfvo type="min"/>
        <cfvo type="max"/>
        <color rgb="FFFCFCFF"/>
        <color rgb="FFF8696B"/>
      </colorScale>
    </cfRule>
    <cfRule type="colorScale" priority="1020">
      <colorScale>
        <cfvo type="min"/>
        <cfvo type="max"/>
        <color rgb="FFF8696B"/>
        <color rgb="FFFCFCFF"/>
      </colorScale>
    </cfRule>
    <cfRule type="colorScale" priority="1459">
      <colorScale>
        <cfvo type="min"/>
        <cfvo type="max"/>
        <color rgb="FFFCFCFF"/>
        <color rgb="FFF8696B"/>
      </colorScale>
    </cfRule>
    <cfRule type="colorScale" priority="1458">
      <colorScale>
        <cfvo type="min"/>
        <cfvo type="max"/>
        <color rgb="FFFCFCFF"/>
        <color rgb="FFF8696B"/>
      </colorScale>
    </cfRule>
    <cfRule type="colorScale" priority="1457">
      <colorScale>
        <cfvo type="min"/>
        <cfvo type="max"/>
        <color rgb="FFFCFCFF"/>
        <color rgb="FFF8696B"/>
      </colorScale>
    </cfRule>
    <cfRule type="colorScale" priority="1456">
      <colorScale>
        <cfvo type="min"/>
        <cfvo type="max"/>
        <color rgb="FFF8696B"/>
        <color rgb="FFFCFCFF"/>
      </colorScale>
    </cfRule>
    <cfRule type="colorScale" priority="1455">
      <colorScale>
        <cfvo type="min"/>
        <cfvo type="max"/>
        <color rgb="FFFCFCFF"/>
        <color rgb="FFF8696B"/>
      </colorScale>
    </cfRule>
    <cfRule type="colorScale" priority="1454">
      <colorScale>
        <cfvo type="min"/>
        <cfvo type="max"/>
        <color rgb="FFFCFCFF"/>
        <color rgb="FFF8696B"/>
      </colorScale>
    </cfRule>
    <cfRule type="colorScale" priority="1448">
      <colorScale>
        <cfvo type="min"/>
        <cfvo type="max"/>
        <color rgb="FFF8696B"/>
        <color rgb="FFFCFCFF"/>
      </colorScale>
    </cfRule>
    <cfRule type="colorScale" priority="1447">
      <colorScale>
        <cfvo type="min"/>
        <cfvo type="max"/>
        <color rgb="FFFCFCFF"/>
        <color rgb="FFF8696B"/>
      </colorScale>
    </cfRule>
    <cfRule type="colorScale" priority="1446">
      <colorScale>
        <cfvo type="min"/>
        <cfvo type="max"/>
        <color rgb="FFFCFCFF"/>
        <color rgb="FFF8696B"/>
      </colorScale>
    </cfRule>
    <cfRule type="colorScale" priority="1412">
      <colorScale>
        <cfvo type="min"/>
        <cfvo type="max"/>
        <color rgb="FFFCFCFF"/>
        <color rgb="FFF8696B"/>
      </colorScale>
    </cfRule>
    <cfRule type="colorScale" priority="1413">
      <colorScale>
        <cfvo type="min"/>
        <cfvo type="max"/>
        <color rgb="FFFCFCFF"/>
        <color rgb="FFF8696B"/>
      </colorScale>
    </cfRule>
    <cfRule type="colorScale" priority="1414">
      <colorScale>
        <cfvo type="min"/>
        <cfvo type="max"/>
        <color rgb="FFF8696B"/>
        <color rgb="FFFCFCFF"/>
      </colorScale>
    </cfRule>
    <cfRule type="colorScale" priority="1415">
      <colorScale>
        <cfvo type="min"/>
        <cfvo type="max"/>
        <color rgb="FFFCFCFF"/>
        <color rgb="FFF8696B"/>
      </colorScale>
    </cfRule>
    <cfRule type="colorScale" priority="1416">
      <colorScale>
        <cfvo type="min"/>
        <cfvo type="max"/>
        <color rgb="FFFCFCFF"/>
        <color rgb="FFF8696B"/>
      </colorScale>
    </cfRule>
    <cfRule type="colorScale" priority="1417">
      <colorScale>
        <cfvo type="min"/>
        <cfvo type="max"/>
        <color rgb="FFFCFCFF"/>
        <color rgb="FFF8696B"/>
      </colorScale>
    </cfRule>
    <cfRule type="colorScale" priority="1438">
      <colorScale>
        <cfvo type="min"/>
        <cfvo type="max"/>
        <color rgb="FFF8696B"/>
        <color rgb="FFFCFCFF"/>
      </colorScale>
    </cfRule>
    <cfRule type="colorScale" priority="1437">
      <colorScale>
        <cfvo type="min"/>
        <cfvo type="max"/>
        <color rgb="FFFCFCFF"/>
        <color rgb="FFF8696B"/>
      </colorScale>
    </cfRule>
    <cfRule type="colorScale" priority="1436">
      <colorScale>
        <cfvo type="min"/>
        <cfvo type="max"/>
        <color rgb="FFFCFCFF"/>
        <color rgb="FFF8696B"/>
      </colorScale>
    </cfRule>
    <cfRule type="colorScale" priority="1435">
      <colorScale>
        <cfvo type="min"/>
        <cfvo type="max"/>
        <color rgb="FFFCFCFF"/>
        <color rgb="FFF8696B"/>
      </colorScale>
    </cfRule>
    <cfRule type="colorScale" priority="560">
      <colorScale>
        <cfvo type="min"/>
        <cfvo type="max"/>
        <color rgb="FFFCFCFF"/>
        <color rgb="FFF8696B"/>
      </colorScale>
    </cfRule>
    <cfRule type="colorScale" priority="1018">
      <colorScale>
        <cfvo type="min"/>
        <cfvo type="max"/>
        <color rgb="FFFCFCFF"/>
        <color rgb="FFF8696B"/>
      </colorScale>
    </cfRule>
    <cfRule type="colorScale" priority="1019">
      <colorScale>
        <cfvo type="min"/>
        <cfvo type="max"/>
        <color rgb="FFFCFCFF"/>
        <color rgb="FFF8696B"/>
      </colorScale>
    </cfRule>
  </conditionalFormatting>
  <conditionalFormatting sqref="X36">
    <cfRule type="colorScale" priority="1440">
      <colorScale>
        <cfvo type="min"/>
        <cfvo type="max"/>
        <color rgb="FFFCFCFF"/>
        <color rgb="FFF8696B"/>
      </colorScale>
    </cfRule>
    <cfRule type="colorScale" priority="1441">
      <colorScale>
        <cfvo type="min"/>
        <cfvo type="max"/>
        <color rgb="FFFCFCFF"/>
        <color rgb="FFF8696B"/>
      </colorScale>
    </cfRule>
    <cfRule type="colorScale" priority="1442">
      <colorScale>
        <cfvo type="min"/>
        <cfvo type="max"/>
        <color rgb="FFF8696B"/>
        <color rgb="FFFCFCFF"/>
      </colorScale>
    </cfRule>
    <cfRule type="colorScale" priority="1443">
      <colorScale>
        <cfvo type="min"/>
        <cfvo type="max"/>
        <color rgb="FFFCFCFF"/>
        <color rgb="FFF8696B"/>
      </colorScale>
    </cfRule>
    <cfRule type="colorScale" priority="1444">
      <colorScale>
        <cfvo type="min"/>
        <cfvo type="max"/>
        <color rgb="FFFCFCFF"/>
        <color rgb="FFF8696B"/>
      </colorScale>
    </cfRule>
    <cfRule type="colorScale" priority="1445">
      <colorScale>
        <cfvo type="min"/>
        <cfvo type="max"/>
        <color rgb="FFF8696B"/>
        <color rgb="FFFCFCFF"/>
      </colorScale>
    </cfRule>
    <cfRule type="colorScale" priority="1017">
      <colorScale>
        <cfvo type="min"/>
        <cfvo type="max"/>
        <color rgb="FFF8696B"/>
        <color rgb="FFFCFCFF"/>
      </colorScale>
    </cfRule>
    <cfRule type="colorScale" priority="1059">
      <colorScale>
        <cfvo type="min"/>
        <cfvo type="max"/>
        <color rgb="FFF8696B"/>
        <color rgb="FFFCFCFF"/>
      </colorScale>
    </cfRule>
    <cfRule type="colorScale" priority="1058">
      <colorScale>
        <cfvo type="min"/>
        <cfvo type="max"/>
        <color rgb="FFFCFCFF"/>
        <color rgb="FFF8696B"/>
      </colorScale>
    </cfRule>
    <cfRule type="colorScale" priority="1482">
      <colorScale>
        <cfvo type="min"/>
        <cfvo type="max"/>
        <color rgb="FFFCFCFF"/>
        <color rgb="FFF8696B"/>
      </colorScale>
    </cfRule>
    <cfRule type="colorScale" priority="1057">
      <colorScale>
        <cfvo type="min"/>
        <cfvo type="max"/>
        <color rgb="FFFCFCFF"/>
        <color rgb="FFF8696B"/>
      </colorScale>
    </cfRule>
    <cfRule type="colorScale" priority="1056">
      <colorScale>
        <cfvo type="min"/>
        <cfvo type="max"/>
        <color rgb="FFF8696B"/>
        <color rgb="FFFCFCFF"/>
      </colorScale>
    </cfRule>
    <cfRule type="colorScale" priority="1055">
      <colorScale>
        <cfvo type="min"/>
        <cfvo type="max"/>
        <color rgb="FFFCFCFF"/>
        <color rgb="FFF8696B"/>
      </colorScale>
    </cfRule>
    <cfRule type="colorScale" priority="1054">
      <colorScale>
        <cfvo type="min"/>
        <cfvo type="max"/>
        <color rgb="FFFCFCFF"/>
        <color rgb="FFF8696B"/>
      </colorScale>
    </cfRule>
    <cfRule type="colorScale" priority="584">
      <colorScale>
        <cfvo type="min"/>
        <cfvo type="max"/>
        <color rgb="FFFCFCFF"/>
        <color rgb="FFF8696B"/>
      </colorScale>
    </cfRule>
    <cfRule type="colorScale" priority="585">
      <colorScale>
        <cfvo type="min"/>
        <cfvo type="max"/>
        <color rgb="FFFCFCFF"/>
        <color rgb="FFF8696B"/>
      </colorScale>
    </cfRule>
    <cfRule type="colorScale" priority="586">
      <colorScale>
        <cfvo type="min"/>
        <cfvo type="max"/>
        <color rgb="FFF8696B"/>
        <color rgb="FFFCFCFF"/>
      </colorScale>
    </cfRule>
    <cfRule type="colorScale" priority="587">
      <colorScale>
        <cfvo type="min"/>
        <cfvo type="max"/>
        <color rgb="FFFCFCFF"/>
        <color rgb="FFF8696B"/>
      </colorScale>
    </cfRule>
    <cfRule type="colorScale" priority="588">
      <colorScale>
        <cfvo type="min"/>
        <cfvo type="max"/>
        <color rgb="FFFCFCFF"/>
        <color rgb="FFF8696B"/>
      </colorScale>
    </cfRule>
    <cfRule type="colorScale" priority="589">
      <colorScale>
        <cfvo type="min"/>
        <cfvo type="max"/>
        <color rgb="FFF8696B"/>
        <color rgb="FFFCFCFF"/>
      </colorScale>
    </cfRule>
    <cfRule type="colorScale" priority="631">
      <colorScale>
        <cfvo type="min"/>
        <cfvo type="max"/>
        <color rgb="FFF8696B"/>
        <color rgb="FFFCFCFF"/>
      </colorScale>
    </cfRule>
    <cfRule type="colorScale" priority="1016">
      <colorScale>
        <cfvo type="min"/>
        <cfvo type="max"/>
        <color rgb="FFFCFCFF"/>
        <color rgb="FFF8696B"/>
      </colorScale>
    </cfRule>
    <cfRule type="colorScale" priority="630">
      <colorScale>
        <cfvo type="min"/>
        <cfvo type="max"/>
        <color rgb="FFFCFCFF"/>
        <color rgb="FFF8696B"/>
      </colorScale>
    </cfRule>
    <cfRule type="colorScale" priority="629">
      <colorScale>
        <cfvo type="min"/>
        <cfvo type="max"/>
        <color rgb="FFFCFCFF"/>
        <color rgb="FFF8696B"/>
      </colorScale>
    </cfRule>
    <cfRule type="colorScale" priority="628">
      <colorScale>
        <cfvo type="min"/>
        <cfvo type="max"/>
        <color rgb="FFF8696B"/>
        <color rgb="FFFCFCFF"/>
      </colorScale>
    </cfRule>
    <cfRule type="colorScale" priority="1015">
      <colorScale>
        <cfvo type="min"/>
        <cfvo type="max"/>
        <color rgb="FFFCFCFF"/>
        <color rgb="FFF8696B"/>
      </colorScale>
    </cfRule>
    <cfRule type="colorScale" priority="627">
      <colorScale>
        <cfvo type="min"/>
        <cfvo type="max"/>
        <color rgb="FFFCFCFF"/>
        <color rgb="FFF8696B"/>
      </colorScale>
    </cfRule>
    <cfRule type="colorScale" priority="626">
      <colorScale>
        <cfvo type="min"/>
        <cfvo type="max"/>
        <color rgb="FFFCFCFF"/>
        <color rgb="FFF8696B"/>
      </colorScale>
    </cfRule>
    <cfRule type="colorScale" priority="1012">
      <colorScale>
        <cfvo type="min"/>
        <cfvo type="max"/>
        <color rgb="FFFCFCFF"/>
        <color rgb="FFF8696B"/>
      </colorScale>
    </cfRule>
    <cfRule type="colorScale" priority="1013">
      <colorScale>
        <cfvo type="min"/>
        <cfvo type="max"/>
        <color rgb="FFFCFCFF"/>
        <color rgb="FFF8696B"/>
      </colorScale>
    </cfRule>
    <cfRule type="colorScale" priority="1014">
      <colorScale>
        <cfvo type="min"/>
        <cfvo type="max"/>
        <color rgb="FFF8696B"/>
        <color rgb="FFFCFCFF"/>
      </colorScale>
    </cfRule>
    <cfRule type="colorScale" priority="1487">
      <colorScale>
        <cfvo type="min"/>
        <cfvo type="max"/>
        <color rgb="FFF8696B"/>
        <color rgb="FFFCFCFF"/>
      </colorScale>
    </cfRule>
    <cfRule type="colorScale" priority="1486">
      <colorScale>
        <cfvo type="min"/>
        <cfvo type="max"/>
        <color rgb="FFFCFCFF"/>
        <color rgb="FFF8696B"/>
      </colorScale>
    </cfRule>
    <cfRule type="colorScale" priority="1485">
      <colorScale>
        <cfvo type="min"/>
        <cfvo type="max"/>
        <color rgb="FFFCFCFF"/>
        <color rgb="FFF8696B"/>
      </colorScale>
    </cfRule>
    <cfRule type="colorScale" priority="1483">
      <colorScale>
        <cfvo type="min"/>
        <cfvo type="max"/>
        <color rgb="FFFCFCFF"/>
        <color rgb="FFF8696B"/>
      </colorScale>
    </cfRule>
    <cfRule type="colorScale" priority="1484">
      <colorScale>
        <cfvo type="min"/>
        <cfvo type="max"/>
        <color rgb="FFF8696B"/>
        <color rgb="FFFCFCFF"/>
      </colorScale>
    </cfRule>
  </conditionalFormatting>
  <conditionalFormatting sqref="X38:X42">
    <cfRule type="colorScale" priority="1251">
      <colorScale>
        <cfvo type="min"/>
        <cfvo type="max"/>
        <color rgb="FFF8696B"/>
        <color rgb="FFFCFCFF"/>
      </colorScale>
    </cfRule>
    <cfRule type="colorScale" priority="1250">
      <colorScale>
        <cfvo type="min"/>
        <cfvo type="max"/>
        <color rgb="FFFCFCFF"/>
        <color rgb="FFF8696B"/>
      </colorScale>
    </cfRule>
    <cfRule type="colorScale" priority="877">
      <colorScale>
        <cfvo type="min"/>
        <cfvo type="max"/>
        <color rgb="FFFCFCFF"/>
        <color rgb="FFF8696B"/>
      </colorScale>
    </cfRule>
    <cfRule type="colorScale" priority="878">
      <colorScale>
        <cfvo type="min"/>
        <cfvo type="max"/>
        <color rgb="FFFCFCFF"/>
        <color rgb="FFF8696B"/>
      </colorScale>
    </cfRule>
    <cfRule type="colorScale" priority="879">
      <colorScale>
        <cfvo type="min"/>
        <cfvo type="max"/>
        <color rgb="FFFCFCFF"/>
        <color rgb="FFF8696B"/>
      </colorScale>
    </cfRule>
    <cfRule type="colorScale" priority="880">
      <colorScale>
        <cfvo type="min"/>
        <cfvo type="max"/>
        <color rgb="FFF8696B"/>
        <color rgb="FFFCFCFF"/>
      </colorScale>
    </cfRule>
    <cfRule type="colorScale" priority="881">
      <colorScale>
        <cfvo type="min"/>
        <cfvo type="max"/>
        <color rgb="FFFCFCFF"/>
        <color rgb="FFF8696B"/>
      </colorScale>
    </cfRule>
    <cfRule type="colorScale" priority="882">
      <colorScale>
        <cfvo type="min"/>
        <cfvo type="max"/>
        <color rgb="FFFCFCFF"/>
        <color rgb="FFF8696B"/>
      </colorScale>
    </cfRule>
    <cfRule type="colorScale" priority="883">
      <colorScale>
        <cfvo type="min"/>
        <cfvo type="max"/>
        <color rgb="FFFCFCFF"/>
        <color rgb="FFF8696B"/>
      </colorScale>
    </cfRule>
    <cfRule type="colorScale" priority="884">
      <colorScale>
        <cfvo type="min"/>
        <cfvo type="max"/>
        <color rgb="FFFCFCFF"/>
        <color rgb="FFF8696B"/>
      </colorScale>
    </cfRule>
    <cfRule type="colorScale" priority="885">
      <colorScale>
        <cfvo type="min"/>
        <cfvo type="max"/>
        <color rgb="FFFCFCFF"/>
        <color rgb="FFF8696B"/>
      </colorScale>
    </cfRule>
    <cfRule type="colorScale" priority="886">
      <colorScale>
        <cfvo type="min"/>
        <cfvo type="max"/>
        <color rgb="FFF8696B"/>
        <color rgb="FFFCFCFF"/>
      </colorScale>
    </cfRule>
    <cfRule type="colorScale" priority="887">
      <colorScale>
        <cfvo type="min"/>
        <cfvo type="max"/>
        <color rgb="FFFCFCFF"/>
        <color rgb="FFF8696B"/>
      </colorScale>
    </cfRule>
    <cfRule type="colorScale" priority="888">
      <colorScale>
        <cfvo type="min"/>
        <cfvo type="max"/>
        <color rgb="FFFCFCFF"/>
        <color rgb="FFF8696B"/>
      </colorScale>
    </cfRule>
    <cfRule type="colorScale" priority="1249">
      <colorScale>
        <cfvo type="min"/>
        <cfvo type="max"/>
        <color rgb="FFFCFCFF"/>
        <color rgb="FFF8696B"/>
      </colorScale>
    </cfRule>
    <cfRule type="colorScale" priority="1209">
      <colorScale>
        <cfvo type="min"/>
        <cfvo type="max"/>
        <color rgb="FFF8696B"/>
        <color rgb="FFFCFCFF"/>
      </colorScale>
    </cfRule>
    <cfRule type="colorScale" priority="1208">
      <colorScale>
        <cfvo type="min"/>
        <cfvo type="max"/>
        <color rgb="FFFCFCFF"/>
        <color rgb="FFF8696B"/>
      </colorScale>
    </cfRule>
    <cfRule type="colorScale" priority="1207">
      <colorScale>
        <cfvo type="min"/>
        <cfvo type="max"/>
        <color rgb="FFFCFCFF"/>
        <color rgb="FFF8696B"/>
      </colorScale>
    </cfRule>
    <cfRule type="colorScale" priority="353">
      <colorScale>
        <cfvo type="min"/>
        <cfvo type="max"/>
        <color rgb="FFF8696B"/>
        <color rgb="FFFCFCFF"/>
      </colorScale>
    </cfRule>
    <cfRule type="colorScale" priority="779">
      <colorScale>
        <cfvo type="min"/>
        <cfvo type="max"/>
        <color rgb="FFFCFCFF"/>
        <color rgb="FFF8696B"/>
      </colorScale>
    </cfRule>
    <cfRule type="colorScale" priority="460">
      <colorScale>
        <cfvo type="min"/>
        <cfvo type="max"/>
        <color rgb="FFFCFCFF"/>
        <color rgb="FFF8696B"/>
      </colorScale>
    </cfRule>
    <cfRule type="colorScale" priority="459">
      <colorScale>
        <cfvo type="min"/>
        <cfvo type="max"/>
        <color rgb="FFFCFCFF"/>
        <color rgb="FFF8696B"/>
      </colorScale>
    </cfRule>
    <cfRule type="colorScale" priority="458">
      <colorScale>
        <cfvo type="min"/>
        <cfvo type="max"/>
        <color rgb="FFF8696B"/>
        <color rgb="FFFCFCFF"/>
      </colorScale>
    </cfRule>
    <cfRule type="colorScale" priority="352">
      <colorScale>
        <cfvo type="min"/>
        <cfvo type="max"/>
        <color rgb="FFFCFCFF"/>
        <color rgb="FFF8696B"/>
      </colorScale>
    </cfRule>
    <cfRule type="colorScale" priority="457">
      <colorScale>
        <cfvo type="min"/>
        <cfvo type="max"/>
        <color rgb="FFFCFCFF"/>
        <color rgb="FFF8696B"/>
      </colorScale>
    </cfRule>
    <cfRule type="colorScale" priority="456">
      <colorScale>
        <cfvo type="min"/>
        <cfvo type="max"/>
        <color rgb="FFFCFCFF"/>
        <color rgb="FFF8696B"/>
      </colorScale>
    </cfRule>
    <cfRule type="colorScale" priority="455">
      <colorScale>
        <cfvo type="min"/>
        <cfvo type="max"/>
        <color rgb="FFFCFCFF"/>
        <color rgb="FFF8696B"/>
      </colorScale>
    </cfRule>
    <cfRule type="colorScale" priority="780">
      <colorScale>
        <cfvo type="min"/>
        <cfvo type="max"/>
        <color rgb="FFFCFCFF"/>
        <color rgb="FFF8696B"/>
      </colorScale>
    </cfRule>
    <cfRule type="colorScale" priority="781">
      <colorScale>
        <cfvo type="min"/>
        <cfvo type="max"/>
        <color rgb="FFF8696B"/>
        <color rgb="FFFCFCFF"/>
      </colorScale>
    </cfRule>
    <cfRule type="colorScale" priority="821">
      <colorScale>
        <cfvo type="min"/>
        <cfvo type="max"/>
        <color rgb="FFFCFCFF"/>
        <color rgb="FFF8696B"/>
      </colorScale>
    </cfRule>
    <cfRule type="colorScale" priority="822">
      <colorScale>
        <cfvo type="min"/>
        <cfvo type="max"/>
        <color rgb="FFFCFCFF"/>
        <color rgb="FFF8696B"/>
      </colorScale>
    </cfRule>
    <cfRule type="colorScale" priority="454">
      <colorScale>
        <cfvo type="min"/>
        <cfvo type="max"/>
        <color rgb="FFFCFCFF"/>
        <color rgb="FFF8696B"/>
      </colorScale>
    </cfRule>
    <cfRule type="colorScale" priority="453">
      <colorScale>
        <cfvo type="min"/>
        <cfvo type="max"/>
        <color rgb="FFFCFCFF"/>
        <color rgb="FFF8696B"/>
      </colorScale>
    </cfRule>
    <cfRule type="colorScale" priority="452">
      <colorScale>
        <cfvo type="min"/>
        <cfvo type="max"/>
        <color rgb="FFF8696B"/>
        <color rgb="FFFCFCFF"/>
      </colorScale>
    </cfRule>
    <cfRule type="colorScale" priority="1316">
      <colorScale>
        <cfvo type="min"/>
        <cfvo type="max"/>
        <color rgb="FFFCFCFF"/>
        <color rgb="FFF8696B"/>
      </colorScale>
    </cfRule>
    <cfRule type="colorScale" priority="351">
      <colorScale>
        <cfvo type="min"/>
        <cfvo type="max"/>
        <color rgb="FFFCFCFF"/>
        <color rgb="FFF8696B"/>
      </colorScale>
    </cfRule>
    <cfRule type="colorScale" priority="1315">
      <colorScale>
        <cfvo type="min"/>
        <cfvo type="max"/>
        <color rgb="FFFCFCFF"/>
        <color rgb="FFF8696B"/>
      </colorScale>
    </cfRule>
    <cfRule type="colorScale" priority="1314">
      <colorScale>
        <cfvo type="min"/>
        <cfvo type="max"/>
        <color rgb="FFF8696B"/>
        <color rgb="FFFCFCFF"/>
      </colorScale>
    </cfRule>
    <cfRule type="colorScale" priority="1313">
      <colorScale>
        <cfvo type="min"/>
        <cfvo type="max"/>
        <color rgb="FFFCFCFF"/>
        <color rgb="FFF8696B"/>
      </colorScale>
    </cfRule>
    <cfRule type="colorScale" priority="1312">
      <colorScale>
        <cfvo type="min"/>
        <cfvo type="max"/>
        <color rgb="FFFCFCFF"/>
        <color rgb="FFF8696B"/>
      </colorScale>
    </cfRule>
    <cfRule type="colorScale" priority="1311">
      <colorScale>
        <cfvo type="min"/>
        <cfvo type="max"/>
        <color rgb="FFFCFCFF"/>
        <color rgb="FFF8696B"/>
      </colorScale>
    </cfRule>
    <cfRule type="colorScale" priority="1310">
      <colorScale>
        <cfvo type="min"/>
        <cfvo type="max"/>
        <color rgb="FFFCFCFF"/>
        <color rgb="FFF8696B"/>
      </colorScale>
    </cfRule>
    <cfRule type="colorScale" priority="1309">
      <colorScale>
        <cfvo type="min"/>
        <cfvo type="max"/>
        <color rgb="FFFCFCFF"/>
        <color rgb="FFF8696B"/>
      </colorScale>
    </cfRule>
    <cfRule type="colorScale" priority="1308">
      <colorScale>
        <cfvo type="min"/>
        <cfvo type="max"/>
        <color rgb="FFF8696B"/>
        <color rgb="FFFCFCFF"/>
      </colorScale>
    </cfRule>
    <cfRule type="colorScale" priority="1307">
      <colorScale>
        <cfvo type="min"/>
        <cfvo type="max"/>
        <color rgb="FFFCFCFF"/>
        <color rgb="FFF8696B"/>
      </colorScale>
    </cfRule>
    <cfRule type="colorScale" priority="1306">
      <colorScale>
        <cfvo type="min"/>
        <cfvo type="max"/>
        <color rgb="FFFCFCFF"/>
        <color rgb="FFF8696B"/>
      </colorScale>
    </cfRule>
    <cfRule type="colorScale" priority="1305">
      <colorScale>
        <cfvo type="min"/>
        <cfvo type="max"/>
        <color rgb="FFFCFCFF"/>
        <color rgb="FFF8696B"/>
      </colorScale>
    </cfRule>
    <cfRule type="colorScale" priority="1304">
      <colorScale>
        <cfvo type="min"/>
        <cfvo type="max"/>
        <color rgb="FFFCFCFF"/>
        <color rgb="FFF8696B"/>
      </colorScale>
    </cfRule>
    <cfRule type="colorScale" priority="1303">
      <colorScale>
        <cfvo type="min"/>
        <cfvo type="max"/>
        <color rgb="FFFCFCFF"/>
        <color rgb="FFF8696B"/>
      </colorScale>
    </cfRule>
    <cfRule type="colorScale" priority="451">
      <colorScale>
        <cfvo type="min"/>
        <cfvo type="max"/>
        <color rgb="FFFCFCFF"/>
        <color rgb="FFF8696B"/>
      </colorScale>
    </cfRule>
    <cfRule type="colorScale" priority="450">
      <colorScale>
        <cfvo type="min"/>
        <cfvo type="max"/>
        <color rgb="FFFCFCFF"/>
        <color rgb="FFF8696B"/>
      </colorScale>
    </cfRule>
    <cfRule type="colorScale" priority="449">
      <colorScale>
        <cfvo type="min"/>
        <cfvo type="max"/>
        <color rgb="FFFCFCFF"/>
        <color rgb="FFF8696B"/>
      </colorScale>
    </cfRule>
    <cfRule type="colorScale" priority="823">
      <colorScale>
        <cfvo type="min"/>
        <cfvo type="max"/>
        <color rgb="FFF8696B"/>
        <color rgb="FFFCFCFF"/>
      </colorScale>
    </cfRule>
    <cfRule type="colorScale" priority="448">
      <colorScale>
        <cfvo type="min"/>
        <cfvo type="max"/>
        <color rgb="FFFCFCFF"/>
        <color rgb="FFF8696B"/>
      </colorScale>
    </cfRule>
    <cfRule type="colorScale" priority="447">
      <colorScale>
        <cfvo type="min"/>
        <cfvo type="max"/>
        <color rgb="FFFCFCFF"/>
        <color rgb="FFF8696B"/>
      </colorScale>
    </cfRule>
    <cfRule type="colorScale" priority="395">
      <colorScale>
        <cfvo type="min"/>
        <cfvo type="max"/>
        <color rgb="FFF8696B"/>
        <color rgb="FFFCFCFF"/>
      </colorScale>
    </cfRule>
    <cfRule type="colorScale" priority="394">
      <colorScale>
        <cfvo type="min"/>
        <cfvo type="max"/>
        <color rgb="FFFCFCFF"/>
        <color rgb="FFF8696B"/>
      </colorScale>
    </cfRule>
    <cfRule type="colorScale" priority="875">
      <colorScale>
        <cfvo type="min"/>
        <cfvo type="max"/>
        <color rgb="FFFCFCFF"/>
        <color rgb="FFF8696B"/>
      </colorScale>
    </cfRule>
    <cfRule type="colorScale" priority="876">
      <colorScale>
        <cfvo type="min"/>
        <cfvo type="max"/>
        <color rgb="FFFCFCFF"/>
        <color rgb="FFF8696B"/>
      </colorScale>
    </cfRule>
    <cfRule type="colorScale" priority="393">
      <colorScale>
        <cfvo type="min"/>
        <cfvo type="max"/>
        <color rgb="FFFCFCFF"/>
        <color rgb="FFF8696B"/>
      </colorScale>
    </cfRule>
  </conditionalFormatting>
  <conditionalFormatting sqref="X38:X44">
    <cfRule type="colorScale" priority="892">
      <colorScale>
        <cfvo type="min"/>
        <cfvo type="max"/>
        <color rgb="FFFCFCFF"/>
        <color rgb="FFF8696B"/>
      </colorScale>
    </cfRule>
    <cfRule type="colorScale" priority="1225">
      <colorScale>
        <cfvo type="min"/>
        <cfvo type="max"/>
        <color rgb="FFFCFCFF"/>
        <color rgb="FFF8696B"/>
      </colorScale>
    </cfRule>
    <cfRule type="colorScale" priority="893">
      <colorScale>
        <cfvo type="min"/>
        <cfvo type="max"/>
        <color rgb="FFFCFCFF"/>
        <color rgb="FFF8696B"/>
      </colorScale>
    </cfRule>
    <cfRule type="colorScale" priority="894">
      <colorScale>
        <cfvo type="min"/>
        <cfvo type="max"/>
        <color rgb="FFF8696B"/>
        <color rgb="FFFCFCFF"/>
      </colorScale>
    </cfRule>
    <cfRule type="colorScale" priority="895">
      <colorScale>
        <cfvo type="min"/>
        <cfvo type="max"/>
        <color rgb="FFFCFCFF"/>
        <color rgb="FFF8696B"/>
      </colorScale>
    </cfRule>
    <cfRule type="colorScale" priority="896">
      <colorScale>
        <cfvo type="min"/>
        <cfvo type="max"/>
        <color rgb="FFFCFCFF"/>
        <color rgb="FFF8696B"/>
      </colorScale>
    </cfRule>
    <cfRule type="colorScale" priority="897">
      <colorScale>
        <cfvo type="min"/>
        <cfvo type="max"/>
        <color rgb="FFFCFCFF"/>
        <color rgb="FFF8696B"/>
      </colorScale>
    </cfRule>
    <cfRule type="colorScale" priority="461">
      <colorScale>
        <cfvo type="min"/>
        <cfvo type="max"/>
        <color rgb="FFFCFCFF"/>
        <color rgb="FFF8696B"/>
      </colorScale>
    </cfRule>
    <cfRule type="colorScale" priority="462">
      <colorScale>
        <cfvo type="min"/>
        <cfvo type="max"/>
        <color rgb="FFFCFCFF"/>
        <color rgb="FFF8696B"/>
      </colorScale>
    </cfRule>
    <cfRule type="colorScale" priority="463">
      <colorScale>
        <cfvo type="min"/>
        <cfvo type="max"/>
        <color rgb="FFFCFCFF"/>
        <color rgb="FFF8696B"/>
      </colorScale>
    </cfRule>
    <cfRule type="colorScale" priority="782">
      <colorScale>
        <cfvo type="min"/>
        <cfvo type="max"/>
        <color rgb="FFFCFCFF"/>
        <color rgb="FFF8696B"/>
      </colorScale>
    </cfRule>
    <cfRule type="colorScale" priority="783">
      <colorScale>
        <cfvo type="min"/>
        <cfvo type="max"/>
        <color rgb="FFFCFCFF"/>
        <color rgb="FFF8696B"/>
      </colorScale>
    </cfRule>
    <cfRule type="colorScale" priority="784">
      <colorScale>
        <cfvo type="min"/>
        <cfvo type="max"/>
        <color rgb="FFFCFCFF"/>
        <color rgb="FFF8696B"/>
      </colorScale>
    </cfRule>
    <cfRule type="colorScale" priority="785">
      <colorScale>
        <cfvo type="min"/>
        <cfvo type="max"/>
        <color rgb="FFF8696B"/>
        <color rgb="FFFCFCFF"/>
      </colorScale>
    </cfRule>
    <cfRule type="colorScale" priority="786">
      <colorScale>
        <cfvo type="min"/>
        <cfvo type="max"/>
        <color rgb="FFFCFCFF"/>
        <color rgb="FFF8696B"/>
      </colorScale>
    </cfRule>
    <cfRule type="colorScale" priority="787">
      <colorScale>
        <cfvo type="min"/>
        <cfvo type="max"/>
        <color rgb="FFFCFCFF"/>
        <color rgb="FFF8696B"/>
      </colorScale>
    </cfRule>
    <cfRule type="colorScale" priority="788">
      <colorScale>
        <cfvo type="min"/>
        <cfvo type="max"/>
        <color rgb="FFF8696B"/>
        <color rgb="FFFCFCFF"/>
      </colorScale>
    </cfRule>
    <cfRule type="colorScale" priority="789">
      <colorScale>
        <cfvo type="min"/>
        <cfvo type="max"/>
        <color rgb="FFFCFCFF"/>
        <color rgb="FFF8696B"/>
      </colorScale>
    </cfRule>
    <cfRule type="colorScale" priority="790">
      <colorScale>
        <cfvo type="min"/>
        <cfvo type="max"/>
        <color rgb="FFFCFCFF"/>
        <color rgb="FFF8696B"/>
      </colorScale>
    </cfRule>
    <cfRule type="colorScale" priority="791">
      <colorScale>
        <cfvo type="min"/>
        <cfvo type="max"/>
        <color rgb="FFF8696B"/>
        <color rgb="FFFCFCFF"/>
      </colorScale>
    </cfRule>
    <cfRule type="colorScale" priority="792">
      <colorScale>
        <cfvo type="min"/>
        <cfvo type="max"/>
        <color rgb="FFFCFCFF"/>
        <color rgb="FFF8696B"/>
      </colorScale>
    </cfRule>
    <cfRule type="colorScale" priority="898">
      <colorScale>
        <cfvo type="min"/>
        <cfvo type="max"/>
        <color rgb="FFFCFCFF"/>
        <color rgb="FFF8696B"/>
      </colorScale>
    </cfRule>
    <cfRule type="colorScale" priority="899">
      <colorScale>
        <cfvo type="min"/>
        <cfvo type="max"/>
        <color rgb="FFFCFCFF"/>
        <color rgb="FFF8696B"/>
      </colorScale>
    </cfRule>
    <cfRule type="colorScale" priority="900">
      <colorScale>
        <cfvo type="min"/>
        <cfvo type="max"/>
        <color rgb="FFFCFCFF"/>
        <color rgb="FFF8696B"/>
      </colorScale>
    </cfRule>
    <cfRule type="colorScale" priority="901">
      <colorScale>
        <cfvo type="min"/>
        <cfvo type="max"/>
        <color rgb="FFFCFCFF"/>
        <color rgb="FFF8696B"/>
      </colorScale>
    </cfRule>
    <cfRule type="colorScale" priority="797">
      <colorScale>
        <cfvo type="min"/>
        <cfvo type="max"/>
        <color rgb="FFFCFCFF"/>
        <color rgb="FFF8696B"/>
      </colorScale>
    </cfRule>
    <cfRule type="colorScale" priority="902">
      <colorScale>
        <cfvo type="min"/>
        <cfvo type="max"/>
        <color rgb="FFFCFCFF"/>
        <color rgb="FFF8696B"/>
      </colorScale>
    </cfRule>
    <cfRule type="colorScale" priority="903">
      <colorScale>
        <cfvo type="min"/>
        <cfvo type="max"/>
        <color rgb="FFF8696B"/>
        <color rgb="FFFCFCFF"/>
      </colorScale>
    </cfRule>
    <cfRule type="colorScale" priority="904">
      <colorScale>
        <cfvo type="min"/>
        <cfvo type="max"/>
        <color rgb="FFFCFCFF"/>
        <color rgb="FFF8696B"/>
      </colorScale>
    </cfRule>
    <cfRule type="colorScale" priority="464">
      <colorScale>
        <cfvo type="min"/>
        <cfvo type="max"/>
        <color rgb="FFFCFCFF"/>
        <color rgb="FFF8696B"/>
      </colorScale>
    </cfRule>
    <cfRule type="colorScale" priority="465">
      <colorScale>
        <cfvo type="min"/>
        <cfvo type="max"/>
        <color rgb="FFFCFCFF"/>
        <color rgb="FFF8696B"/>
      </colorScale>
    </cfRule>
    <cfRule type="colorScale" priority="466">
      <colorScale>
        <cfvo type="min"/>
        <cfvo type="max"/>
        <color rgb="FFF8696B"/>
        <color rgb="FFFCFCFF"/>
      </colorScale>
    </cfRule>
    <cfRule type="colorScale" priority="905">
      <colorScale>
        <cfvo type="min"/>
        <cfvo type="max"/>
        <color rgb="FFF8696B"/>
        <color rgb="FFFCFCFF"/>
      </colorScale>
    </cfRule>
    <cfRule type="colorScale" priority="890">
      <colorScale>
        <cfvo type="min"/>
        <cfvo type="max"/>
        <color rgb="FFFCFCFF"/>
        <color rgb="FFF8696B"/>
      </colorScale>
    </cfRule>
    <cfRule type="colorScale" priority="889">
      <colorScale>
        <cfvo type="min"/>
        <cfvo type="max"/>
        <color rgb="FFFCFCFF"/>
        <color rgb="FFF8696B"/>
      </colorScale>
    </cfRule>
    <cfRule type="colorScale" priority="807">
      <colorScale>
        <cfvo type="min"/>
        <cfvo type="max"/>
        <color rgb="FFFCFCFF"/>
        <color rgb="FFF8696B"/>
      </colorScale>
    </cfRule>
    <cfRule type="colorScale" priority="808">
      <colorScale>
        <cfvo type="min"/>
        <cfvo type="max"/>
        <color rgb="FFFCFCFF"/>
        <color rgb="FFF8696B"/>
      </colorScale>
    </cfRule>
    <cfRule type="colorScale" priority="809">
      <colorScale>
        <cfvo type="min"/>
        <cfvo type="max"/>
        <color rgb="FFF8696B"/>
        <color rgb="FFFCFCFF"/>
      </colorScale>
    </cfRule>
    <cfRule type="colorScale" priority="810">
      <colorScale>
        <cfvo type="min"/>
        <cfvo type="max"/>
        <color rgb="FFFCFCFF"/>
        <color rgb="FFF8696B"/>
      </colorScale>
    </cfRule>
    <cfRule type="colorScale" priority="811">
      <colorScale>
        <cfvo type="min"/>
        <cfvo type="max"/>
        <color rgb="FFFCFCFF"/>
        <color rgb="FFF8696B"/>
      </colorScale>
    </cfRule>
    <cfRule type="colorScale" priority="354">
      <colorScale>
        <cfvo type="min"/>
        <cfvo type="max"/>
        <color rgb="FFFCFCFF"/>
        <color rgb="FFF8696B"/>
      </colorScale>
    </cfRule>
    <cfRule type="colorScale" priority="355">
      <colorScale>
        <cfvo type="min"/>
        <cfvo type="max"/>
        <color rgb="FFFCFCFF"/>
        <color rgb="FFF8696B"/>
      </colorScale>
    </cfRule>
    <cfRule type="colorScale" priority="356">
      <colorScale>
        <cfvo type="min"/>
        <cfvo type="max"/>
        <color rgb="FFFCFCFF"/>
        <color rgb="FFF8696B"/>
      </colorScale>
    </cfRule>
    <cfRule type="colorScale" priority="357">
      <colorScale>
        <cfvo type="min"/>
        <cfvo type="max"/>
        <color rgb="FFF8696B"/>
        <color rgb="FFFCFCFF"/>
      </colorScale>
    </cfRule>
    <cfRule type="colorScale" priority="358">
      <colorScale>
        <cfvo type="min"/>
        <cfvo type="max"/>
        <color rgb="FFFCFCFF"/>
        <color rgb="FFF8696B"/>
      </colorScale>
    </cfRule>
    <cfRule type="colorScale" priority="359">
      <colorScale>
        <cfvo type="min"/>
        <cfvo type="max"/>
        <color rgb="FFFCFCFF"/>
        <color rgb="FFF8696B"/>
      </colorScale>
    </cfRule>
    <cfRule type="colorScale" priority="467">
      <colorScale>
        <cfvo type="min"/>
        <cfvo type="max"/>
        <color rgb="FFFCFCFF"/>
        <color rgb="FFF8696B"/>
      </colorScale>
    </cfRule>
    <cfRule type="colorScale" priority="468">
      <colorScale>
        <cfvo type="min"/>
        <cfvo type="max"/>
        <color rgb="FFFCFCFF"/>
        <color rgb="FFF8696B"/>
      </colorScale>
    </cfRule>
    <cfRule type="colorScale" priority="469">
      <colorScale>
        <cfvo type="min"/>
        <cfvo type="max"/>
        <color rgb="FFFCFCFF"/>
        <color rgb="FFF8696B"/>
      </colorScale>
    </cfRule>
    <cfRule type="colorScale" priority="824">
      <colorScale>
        <cfvo type="min"/>
        <cfvo type="max"/>
        <color rgb="FFFCFCFF"/>
        <color rgb="FFF8696B"/>
      </colorScale>
    </cfRule>
    <cfRule type="colorScale" priority="825">
      <colorScale>
        <cfvo type="min"/>
        <cfvo type="max"/>
        <color rgb="FFFCFCFF"/>
        <color rgb="FFF8696B"/>
      </colorScale>
    </cfRule>
    <cfRule type="colorScale" priority="826">
      <colorScale>
        <cfvo type="min"/>
        <cfvo type="max"/>
        <color rgb="FFFCFCFF"/>
        <color rgb="FFF8696B"/>
      </colorScale>
    </cfRule>
    <cfRule type="colorScale" priority="827">
      <colorScale>
        <cfvo type="min"/>
        <cfvo type="max"/>
        <color rgb="FFF8696B"/>
        <color rgb="FFFCFCFF"/>
      </colorScale>
    </cfRule>
    <cfRule type="colorScale" priority="828">
      <colorScale>
        <cfvo type="min"/>
        <cfvo type="max"/>
        <color rgb="FFFCFCFF"/>
        <color rgb="FFF8696B"/>
      </colorScale>
    </cfRule>
    <cfRule type="colorScale" priority="829">
      <colorScale>
        <cfvo type="min"/>
        <cfvo type="max"/>
        <color rgb="FFFCFCFF"/>
        <color rgb="FFF8696B"/>
      </colorScale>
    </cfRule>
    <cfRule type="colorScale" priority="830">
      <colorScale>
        <cfvo type="min"/>
        <cfvo type="max"/>
        <color rgb="FFF8696B"/>
        <color rgb="FFFCFCFF"/>
      </colorScale>
    </cfRule>
    <cfRule type="colorScale" priority="831">
      <colorScale>
        <cfvo type="min"/>
        <cfvo type="max"/>
        <color rgb="FFFCFCFF"/>
        <color rgb="FFF8696B"/>
      </colorScale>
    </cfRule>
    <cfRule type="colorScale" priority="832">
      <colorScale>
        <cfvo type="min"/>
        <cfvo type="max"/>
        <color rgb="FFFCFCFF"/>
        <color rgb="FFF8696B"/>
      </colorScale>
    </cfRule>
    <cfRule type="colorScale" priority="833">
      <colorScale>
        <cfvo type="min"/>
        <cfvo type="max"/>
        <color rgb="FFF8696B"/>
        <color rgb="FFFCFCFF"/>
      </colorScale>
    </cfRule>
    <cfRule type="colorScale" priority="834">
      <colorScale>
        <cfvo type="min"/>
        <cfvo type="max"/>
        <color rgb="FFFCFCFF"/>
        <color rgb="FFF8696B"/>
      </colorScale>
    </cfRule>
    <cfRule type="colorScale" priority="360">
      <colorScale>
        <cfvo type="min"/>
        <cfvo type="max"/>
        <color rgb="FFF8696B"/>
        <color rgb="FFFCFCFF"/>
      </colorScale>
    </cfRule>
    <cfRule type="colorScale" priority="361">
      <colorScale>
        <cfvo type="min"/>
        <cfvo type="max"/>
        <color rgb="FFFCFCFF"/>
        <color rgb="FFF8696B"/>
      </colorScale>
    </cfRule>
    <cfRule type="colorScale" priority="362">
      <colorScale>
        <cfvo type="min"/>
        <cfvo type="max"/>
        <color rgb="FFFCFCFF"/>
        <color rgb="FFF8696B"/>
      </colorScale>
    </cfRule>
    <cfRule type="colorScale" priority="363">
      <colorScale>
        <cfvo type="min"/>
        <cfvo type="max"/>
        <color rgb="FFF8696B"/>
        <color rgb="FFFCFCFF"/>
      </colorScale>
    </cfRule>
    <cfRule type="colorScale" priority="839">
      <colorScale>
        <cfvo type="min"/>
        <cfvo type="max"/>
        <color rgb="FFFCFCFF"/>
        <color rgb="FFF8696B"/>
      </colorScale>
    </cfRule>
    <cfRule type="colorScale" priority="364">
      <colorScale>
        <cfvo type="min"/>
        <cfvo type="max"/>
        <color rgb="FFFCFCFF"/>
        <color rgb="FFF8696B"/>
      </colorScale>
    </cfRule>
    <cfRule type="colorScale" priority="369">
      <colorScale>
        <cfvo type="min"/>
        <cfvo type="max"/>
        <color rgb="FFFCFCFF"/>
        <color rgb="FFF8696B"/>
      </colorScale>
    </cfRule>
    <cfRule type="colorScale" priority="379">
      <colorScale>
        <cfvo type="min"/>
        <cfvo type="max"/>
        <color rgb="FFFCFCFF"/>
        <color rgb="FFF8696B"/>
      </colorScale>
    </cfRule>
    <cfRule type="colorScale" priority="380">
      <colorScale>
        <cfvo type="min"/>
        <cfvo type="max"/>
        <color rgb="FFFCFCFF"/>
        <color rgb="FFF8696B"/>
      </colorScale>
    </cfRule>
    <cfRule type="colorScale" priority="381">
      <colorScale>
        <cfvo type="min"/>
        <cfvo type="max"/>
        <color rgb="FFF8696B"/>
        <color rgb="FFFCFCFF"/>
      </colorScale>
    </cfRule>
    <cfRule type="colorScale" priority="382">
      <colorScale>
        <cfvo type="min"/>
        <cfvo type="max"/>
        <color rgb="FFFCFCFF"/>
        <color rgb="FFF8696B"/>
      </colorScale>
    </cfRule>
    <cfRule type="colorScale" priority="383">
      <colorScale>
        <cfvo type="min"/>
        <cfvo type="max"/>
        <color rgb="FFFCFCFF"/>
        <color rgb="FFF8696B"/>
      </colorScale>
    </cfRule>
    <cfRule type="colorScale" priority="470">
      <colorScale>
        <cfvo type="min"/>
        <cfvo type="max"/>
        <color rgb="FFFCFCFF"/>
        <color rgb="FFF8696B"/>
      </colorScale>
    </cfRule>
    <cfRule type="colorScale" priority="471">
      <colorScale>
        <cfvo type="min"/>
        <cfvo type="max"/>
        <color rgb="FFFCFCFF"/>
        <color rgb="FFF8696B"/>
      </colorScale>
    </cfRule>
    <cfRule type="colorScale" priority="472">
      <colorScale>
        <cfvo type="min"/>
        <cfvo type="max"/>
        <color rgb="FFFCFCFF"/>
        <color rgb="FFF8696B"/>
      </colorScale>
    </cfRule>
    <cfRule type="colorScale" priority="849">
      <colorScale>
        <cfvo type="min"/>
        <cfvo type="max"/>
        <color rgb="FFFCFCFF"/>
        <color rgb="FFF8696B"/>
      </colorScale>
    </cfRule>
    <cfRule type="colorScale" priority="850">
      <colorScale>
        <cfvo type="min"/>
        <cfvo type="max"/>
        <color rgb="FFFCFCFF"/>
        <color rgb="FFF8696B"/>
      </colorScale>
    </cfRule>
    <cfRule type="colorScale" priority="851">
      <colorScale>
        <cfvo type="min"/>
        <cfvo type="max"/>
        <color rgb="FFF8696B"/>
        <color rgb="FFFCFCFF"/>
      </colorScale>
    </cfRule>
    <cfRule type="colorScale" priority="852">
      <colorScale>
        <cfvo type="min"/>
        <cfvo type="max"/>
        <color rgb="FFFCFCFF"/>
        <color rgb="FFF8696B"/>
      </colorScale>
    </cfRule>
    <cfRule type="colorScale" priority="853">
      <colorScale>
        <cfvo type="min"/>
        <cfvo type="max"/>
        <color rgb="FFFCFCFF"/>
        <color rgb="FFF8696B"/>
      </colorScale>
    </cfRule>
    <cfRule type="colorScale" priority="854">
      <colorScale>
        <cfvo type="min"/>
        <cfvo type="max"/>
        <color rgb="FFFCFCFF"/>
        <color rgb="FFF8696B"/>
      </colorScale>
    </cfRule>
    <cfRule type="colorScale" priority="473">
      <colorScale>
        <cfvo type="min"/>
        <cfvo type="max"/>
        <color rgb="FFFCFCFF"/>
        <color rgb="FFF8696B"/>
      </colorScale>
    </cfRule>
    <cfRule type="colorScale" priority="474">
      <colorScale>
        <cfvo type="min"/>
        <cfvo type="max"/>
        <color rgb="FFFCFCFF"/>
        <color rgb="FFF8696B"/>
      </colorScale>
    </cfRule>
    <cfRule type="colorScale" priority="475">
      <colorScale>
        <cfvo type="min"/>
        <cfvo type="max"/>
        <color rgb="FFF8696B"/>
        <color rgb="FFFCFCFF"/>
      </colorScale>
    </cfRule>
    <cfRule type="colorScale" priority="476">
      <colorScale>
        <cfvo type="min"/>
        <cfvo type="max"/>
        <color rgb="FFFCFCFF"/>
        <color rgb="FFF8696B"/>
      </colorScale>
    </cfRule>
    <cfRule type="colorScale" priority="477">
      <colorScale>
        <cfvo type="min"/>
        <cfvo type="max"/>
        <color rgb="FFF8696B"/>
        <color rgb="FFFCFCFF"/>
      </colorScale>
    </cfRule>
    <cfRule type="colorScale" priority="1210">
      <colorScale>
        <cfvo type="min"/>
        <cfvo type="max"/>
        <color rgb="FFFCFCFF"/>
        <color rgb="FFF8696B"/>
      </colorScale>
    </cfRule>
    <cfRule type="colorScale" priority="1211">
      <colorScale>
        <cfvo type="min"/>
        <cfvo type="max"/>
        <color rgb="FFFCFCFF"/>
        <color rgb="FFF8696B"/>
      </colorScale>
    </cfRule>
    <cfRule type="colorScale" priority="1212">
      <colorScale>
        <cfvo type="min"/>
        <cfvo type="max"/>
        <color rgb="FFFCFCFF"/>
        <color rgb="FFF8696B"/>
      </colorScale>
    </cfRule>
    <cfRule type="colorScale" priority="1333">
      <colorScale>
        <cfvo type="min"/>
        <cfvo type="max"/>
        <color rgb="FFF8696B"/>
        <color rgb="FFFCFCFF"/>
      </colorScale>
    </cfRule>
    <cfRule type="colorScale" priority="1332">
      <colorScale>
        <cfvo type="min"/>
        <cfvo type="max"/>
        <color rgb="FFFCFCFF"/>
        <color rgb="FFF8696B"/>
      </colorScale>
    </cfRule>
    <cfRule type="colorScale" priority="1331">
      <colorScale>
        <cfvo type="min"/>
        <cfvo type="max"/>
        <color rgb="FFF8696B"/>
        <color rgb="FFFCFCFF"/>
      </colorScale>
    </cfRule>
    <cfRule type="colorScale" priority="1330">
      <colorScale>
        <cfvo type="min"/>
        <cfvo type="max"/>
        <color rgb="FFFCFCFF"/>
        <color rgb="FFF8696B"/>
      </colorScale>
    </cfRule>
    <cfRule type="colorScale" priority="1329">
      <colorScale>
        <cfvo type="min"/>
        <cfvo type="max"/>
        <color rgb="FFFCFCFF"/>
        <color rgb="FFF8696B"/>
      </colorScale>
    </cfRule>
    <cfRule type="colorScale" priority="1328">
      <colorScale>
        <cfvo type="min"/>
        <cfvo type="max"/>
        <color rgb="FFFCFCFF"/>
        <color rgb="FFF8696B"/>
      </colorScale>
    </cfRule>
    <cfRule type="colorScale" priority="1327">
      <colorScale>
        <cfvo type="min"/>
        <cfvo type="max"/>
        <color rgb="FFFCFCFF"/>
        <color rgb="FFF8696B"/>
      </colorScale>
    </cfRule>
    <cfRule type="colorScale" priority="1326">
      <colorScale>
        <cfvo type="min"/>
        <cfvo type="max"/>
        <color rgb="FFFCFCFF"/>
        <color rgb="FFF8696B"/>
      </colorScale>
    </cfRule>
    <cfRule type="colorScale" priority="1325">
      <colorScale>
        <cfvo type="min"/>
        <cfvo type="max"/>
        <color rgb="FFFCFCFF"/>
        <color rgb="FFF8696B"/>
      </colorScale>
    </cfRule>
    <cfRule type="colorScale" priority="1324">
      <colorScale>
        <cfvo type="min"/>
        <cfvo type="max"/>
        <color rgb="FFFCFCFF"/>
        <color rgb="FFF8696B"/>
      </colorScale>
    </cfRule>
    <cfRule type="colorScale" priority="1323">
      <colorScale>
        <cfvo type="min"/>
        <cfvo type="max"/>
        <color rgb="FFFCFCFF"/>
        <color rgb="FFF8696B"/>
      </colorScale>
    </cfRule>
    <cfRule type="colorScale" priority="1322">
      <colorScale>
        <cfvo type="min"/>
        <cfvo type="max"/>
        <color rgb="FFF8696B"/>
        <color rgb="FFFCFCFF"/>
      </colorScale>
    </cfRule>
    <cfRule type="colorScale" priority="1321">
      <colorScale>
        <cfvo type="min"/>
        <cfvo type="max"/>
        <color rgb="FFFCFCFF"/>
        <color rgb="FFF8696B"/>
      </colorScale>
    </cfRule>
    <cfRule type="colorScale" priority="1320">
      <colorScale>
        <cfvo type="min"/>
        <cfvo type="max"/>
        <color rgb="FFFCFCFF"/>
        <color rgb="FFF8696B"/>
      </colorScale>
    </cfRule>
    <cfRule type="colorScale" priority="1319">
      <colorScale>
        <cfvo type="min"/>
        <cfvo type="max"/>
        <color rgb="FFFCFCFF"/>
        <color rgb="FFF8696B"/>
      </colorScale>
    </cfRule>
    <cfRule type="colorScale" priority="1318">
      <colorScale>
        <cfvo type="min"/>
        <cfvo type="max"/>
        <color rgb="FFFCFCFF"/>
        <color rgb="FFF8696B"/>
      </colorScale>
    </cfRule>
    <cfRule type="colorScale" priority="1317">
      <colorScale>
        <cfvo type="min"/>
        <cfvo type="max"/>
        <color rgb="FFFCFCFF"/>
        <color rgb="FFF8696B"/>
      </colorScale>
    </cfRule>
    <cfRule type="colorScale" priority="1213">
      <colorScale>
        <cfvo type="min"/>
        <cfvo type="max"/>
        <color rgb="FFF8696B"/>
        <color rgb="FFFCFCFF"/>
      </colorScale>
    </cfRule>
    <cfRule type="colorScale" priority="1214">
      <colorScale>
        <cfvo type="min"/>
        <cfvo type="max"/>
        <color rgb="FFFCFCFF"/>
        <color rgb="FFF8696B"/>
      </colorScale>
    </cfRule>
    <cfRule type="colorScale" priority="1215">
      <colorScale>
        <cfvo type="min"/>
        <cfvo type="max"/>
        <color rgb="FFFCFCFF"/>
        <color rgb="FFF8696B"/>
      </colorScale>
    </cfRule>
    <cfRule type="colorScale" priority="1216">
      <colorScale>
        <cfvo type="min"/>
        <cfvo type="max"/>
        <color rgb="FFF8696B"/>
        <color rgb="FFFCFCFF"/>
      </colorScale>
    </cfRule>
    <cfRule type="colorScale" priority="1217">
      <colorScale>
        <cfvo type="min"/>
        <cfvo type="max"/>
        <color rgb="FFFCFCFF"/>
        <color rgb="FFF8696B"/>
      </colorScale>
    </cfRule>
    <cfRule type="colorScale" priority="1218">
      <colorScale>
        <cfvo type="min"/>
        <cfvo type="max"/>
        <color rgb="FFFCFCFF"/>
        <color rgb="FFF8696B"/>
      </colorScale>
    </cfRule>
    <cfRule type="colorScale" priority="1219">
      <colorScale>
        <cfvo type="min"/>
        <cfvo type="max"/>
        <color rgb="FFF8696B"/>
        <color rgb="FFFCFCFF"/>
      </colorScale>
    </cfRule>
    <cfRule type="colorScale" priority="1220">
      <colorScale>
        <cfvo type="min"/>
        <cfvo type="max"/>
        <color rgb="FFFCFCFF"/>
        <color rgb="FFF8696B"/>
      </colorScale>
    </cfRule>
    <cfRule type="colorScale" priority="426">
      <colorScale>
        <cfvo type="min"/>
        <cfvo type="max"/>
        <color rgb="FFFCFCFF"/>
        <color rgb="FFF8696B"/>
      </colorScale>
    </cfRule>
    <cfRule type="colorScale" priority="425">
      <colorScale>
        <cfvo type="min"/>
        <cfvo type="max"/>
        <color rgb="FFFCFCFF"/>
        <color rgb="FFF8696B"/>
      </colorScale>
    </cfRule>
    <cfRule type="colorScale" priority="424">
      <colorScale>
        <cfvo type="min"/>
        <cfvo type="max"/>
        <color rgb="FFFCFCFF"/>
        <color rgb="FFF8696B"/>
      </colorScale>
    </cfRule>
    <cfRule type="colorScale" priority="1235">
      <colorScale>
        <cfvo type="min"/>
        <cfvo type="max"/>
        <color rgb="FFFCFCFF"/>
        <color rgb="FFF8696B"/>
      </colorScale>
    </cfRule>
    <cfRule type="colorScale" priority="1236">
      <colorScale>
        <cfvo type="min"/>
        <cfvo type="max"/>
        <color rgb="FFFCFCFF"/>
        <color rgb="FFF8696B"/>
      </colorScale>
    </cfRule>
    <cfRule type="colorScale" priority="1237">
      <colorScale>
        <cfvo type="min"/>
        <cfvo type="max"/>
        <color rgb="FFF8696B"/>
        <color rgb="FFFCFCFF"/>
      </colorScale>
    </cfRule>
    <cfRule type="colorScale" priority="1238">
      <colorScale>
        <cfvo type="min"/>
        <cfvo type="max"/>
        <color rgb="FFFCFCFF"/>
        <color rgb="FFF8696B"/>
      </colorScale>
    </cfRule>
    <cfRule type="colorScale" priority="1239">
      <colorScale>
        <cfvo type="min"/>
        <cfvo type="max"/>
        <color rgb="FFFCFCFF"/>
        <color rgb="FFF8696B"/>
      </colorScale>
    </cfRule>
    <cfRule type="colorScale" priority="423">
      <colorScale>
        <cfvo type="min"/>
        <cfvo type="max"/>
        <color rgb="FFF8696B"/>
        <color rgb="FFFCFCFF"/>
      </colorScale>
    </cfRule>
    <cfRule type="colorScale" priority="422">
      <colorScale>
        <cfvo type="min"/>
        <cfvo type="max"/>
        <color rgb="FFFCFCFF"/>
        <color rgb="FFF8696B"/>
      </colorScale>
    </cfRule>
    <cfRule type="colorScale" priority="421">
      <colorScale>
        <cfvo type="min"/>
        <cfvo type="max"/>
        <color rgb="FFFCFCFF"/>
        <color rgb="FFF8696B"/>
      </colorScale>
    </cfRule>
    <cfRule type="colorScale" priority="411">
      <colorScale>
        <cfvo type="min"/>
        <cfvo type="max"/>
        <color rgb="FFFCFCFF"/>
        <color rgb="FFF8696B"/>
      </colorScale>
    </cfRule>
    <cfRule type="colorScale" priority="1282">
      <colorScale>
        <cfvo type="min"/>
        <cfvo type="max"/>
        <color rgb="FFFCFCFF"/>
        <color rgb="FFF8696B"/>
      </colorScale>
    </cfRule>
    <cfRule type="colorScale" priority="1281">
      <colorScale>
        <cfvo type="min"/>
        <cfvo type="max"/>
        <color rgb="FFFCFCFF"/>
        <color rgb="FFF8696B"/>
      </colorScale>
    </cfRule>
    <cfRule type="colorScale" priority="1280">
      <colorScale>
        <cfvo type="min"/>
        <cfvo type="max"/>
        <color rgb="FFFCFCFF"/>
        <color rgb="FFF8696B"/>
      </colorScale>
    </cfRule>
    <cfRule type="colorScale" priority="1279">
      <colorScale>
        <cfvo type="min"/>
        <cfvo type="max"/>
        <color rgb="FFF8696B"/>
        <color rgb="FFFCFCFF"/>
      </colorScale>
    </cfRule>
    <cfRule type="colorScale" priority="1278">
      <colorScale>
        <cfvo type="min"/>
        <cfvo type="max"/>
        <color rgb="FFFCFCFF"/>
        <color rgb="FFF8696B"/>
      </colorScale>
    </cfRule>
    <cfRule type="colorScale" priority="1277">
      <colorScale>
        <cfvo type="min"/>
        <cfvo type="max"/>
        <color rgb="FFFCFCFF"/>
        <color rgb="FFF8696B"/>
      </colorScale>
    </cfRule>
    <cfRule type="colorScale" priority="891">
      <colorScale>
        <cfvo type="min"/>
        <cfvo type="max"/>
        <color rgb="FFFCFCFF"/>
        <color rgb="FFF8696B"/>
      </colorScale>
    </cfRule>
    <cfRule type="colorScale" priority="406">
      <colorScale>
        <cfvo type="min"/>
        <cfvo type="max"/>
        <color rgb="FFFCFCFF"/>
        <color rgb="FFF8696B"/>
      </colorScale>
    </cfRule>
    <cfRule type="colorScale" priority="1252">
      <colorScale>
        <cfvo type="min"/>
        <cfvo type="max"/>
        <color rgb="FFFCFCFF"/>
        <color rgb="FFF8696B"/>
      </colorScale>
    </cfRule>
    <cfRule type="colorScale" priority="396">
      <colorScale>
        <cfvo type="min"/>
        <cfvo type="max"/>
        <color rgb="FFFCFCFF"/>
        <color rgb="FFF8696B"/>
      </colorScale>
    </cfRule>
    <cfRule type="colorScale" priority="397">
      <colorScale>
        <cfvo type="min"/>
        <cfvo type="max"/>
        <color rgb="FFFCFCFF"/>
        <color rgb="FFF8696B"/>
      </colorScale>
    </cfRule>
    <cfRule type="colorScale" priority="398">
      <colorScale>
        <cfvo type="min"/>
        <cfvo type="max"/>
        <color rgb="FFFCFCFF"/>
        <color rgb="FFF8696B"/>
      </colorScale>
    </cfRule>
    <cfRule type="colorScale" priority="399">
      <colorScale>
        <cfvo type="min"/>
        <cfvo type="max"/>
        <color rgb="FFF8696B"/>
        <color rgb="FFFCFCFF"/>
      </colorScale>
    </cfRule>
    <cfRule type="colorScale" priority="400">
      <colorScale>
        <cfvo type="min"/>
        <cfvo type="max"/>
        <color rgb="FFFCFCFF"/>
        <color rgb="FFF8696B"/>
      </colorScale>
    </cfRule>
    <cfRule type="colorScale" priority="401">
      <colorScale>
        <cfvo type="min"/>
        <cfvo type="max"/>
        <color rgb="FFFCFCFF"/>
        <color rgb="FFF8696B"/>
      </colorScale>
    </cfRule>
    <cfRule type="colorScale" priority="1267">
      <colorScale>
        <cfvo type="min"/>
        <cfvo type="max"/>
        <color rgb="FFFCFCFF"/>
        <color rgb="FFF8696B"/>
      </colorScale>
    </cfRule>
    <cfRule type="colorScale" priority="402">
      <colorScale>
        <cfvo type="min"/>
        <cfvo type="max"/>
        <color rgb="FFF8696B"/>
        <color rgb="FFFCFCFF"/>
      </colorScale>
    </cfRule>
    <cfRule type="colorScale" priority="403">
      <colorScale>
        <cfvo type="min"/>
        <cfvo type="max"/>
        <color rgb="FFFCFCFF"/>
        <color rgb="FFF8696B"/>
      </colorScale>
    </cfRule>
    <cfRule type="colorScale" priority="404">
      <colorScale>
        <cfvo type="min"/>
        <cfvo type="max"/>
        <color rgb="FFFCFCFF"/>
        <color rgb="FFF8696B"/>
      </colorScale>
    </cfRule>
    <cfRule type="colorScale" priority="405">
      <colorScale>
        <cfvo type="min"/>
        <cfvo type="max"/>
        <color rgb="FFF8696B"/>
        <color rgb="FFFCFCFF"/>
      </colorScale>
    </cfRule>
    <cfRule type="colorScale" priority="1262">
      <colorScale>
        <cfvo type="min"/>
        <cfvo type="max"/>
        <color rgb="FFFCFCFF"/>
        <color rgb="FFF8696B"/>
      </colorScale>
    </cfRule>
    <cfRule type="colorScale" priority="1261">
      <colorScale>
        <cfvo type="min"/>
        <cfvo type="max"/>
        <color rgb="FFF8696B"/>
        <color rgb="FFFCFCFF"/>
      </colorScale>
    </cfRule>
    <cfRule type="colorScale" priority="1260">
      <colorScale>
        <cfvo type="min"/>
        <cfvo type="max"/>
        <color rgb="FFFCFCFF"/>
        <color rgb="FFF8696B"/>
      </colorScale>
    </cfRule>
    <cfRule type="colorScale" priority="1259">
      <colorScale>
        <cfvo type="min"/>
        <cfvo type="max"/>
        <color rgb="FFFCFCFF"/>
        <color rgb="FFF8696B"/>
      </colorScale>
    </cfRule>
    <cfRule type="colorScale" priority="1258">
      <colorScale>
        <cfvo type="min"/>
        <cfvo type="max"/>
        <color rgb="FFF8696B"/>
        <color rgb="FFFCFCFF"/>
      </colorScale>
    </cfRule>
    <cfRule type="colorScale" priority="1257">
      <colorScale>
        <cfvo type="min"/>
        <cfvo type="max"/>
        <color rgb="FFFCFCFF"/>
        <color rgb="FFF8696B"/>
      </colorScale>
    </cfRule>
    <cfRule type="colorScale" priority="1256">
      <colorScale>
        <cfvo type="min"/>
        <cfvo type="max"/>
        <color rgb="FFFCFCFF"/>
        <color rgb="FFF8696B"/>
      </colorScale>
    </cfRule>
    <cfRule type="colorScale" priority="1255">
      <colorScale>
        <cfvo type="min"/>
        <cfvo type="max"/>
        <color rgb="FFF8696B"/>
        <color rgb="FFFCFCFF"/>
      </colorScale>
    </cfRule>
    <cfRule type="colorScale" priority="1254">
      <colorScale>
        <cfvo type="min"/>
        <cfvo type="max"/>
        <color rgb="FFFCFCFF"/>
        <color rgb="FFF8696B"/>
      </colorScale>
    </cfRule>
    <cfRule type="colorScale" priority="1253">
      <colorScale>
        <cfvo type="min"/>
        <cfvo type="max"/>
        <color rgb="FFFCFCFF"/>
        <color rgb="FFF8696B"/>
      </colorScale>
    </cfRule>
  </conditionalFormatting>
  <conditionalFormatting sqref="X41:X44">
    <cfRule type="colorScale" priority="873">
      <colorScale>
        <cfvo type="min"/>
        <cfvo type="max"/>
        <color rgb="FFFCFCFF"/>
        <color rgb="FFF8696B"/>
      </colorScale>
    </cfRule>
    <cfRule type="colorScale" priority="1248">
      <colorScale>
        <cfvo type="min"/>
        <cfvo type="max"/>
        <color rgb="FFF8696B"/>
        <color rgb="FFFCFCFF"/>
      </colorScale>
    </cfRule>
    <cfRule type="colorScale" priority="1247">
      <colorScale>
        <cfvo type="min"/>
        <cfvo type="max"/>
        <color rgb="FFFCFCFF"/>
        <color rgb="FFF8696B"/>
      </colorScale>
    </cfRule>
    <cfRule type="colorScale" priority="1246">
      <colorScale>
        <cfvo type="min"/>
        <cfvo type="max"/>
        <color rgb="FFFCFCFF"/>
        <color rgb="FFF8696B"/>
      </colorScale>
    </cfRule>
    <cfRule type="colorScale" priority="874">
      <colorScale>
        <cfvo type="min"/>
        <cfvo type="max"/>
        <color rgb="FFFCFCFF"/>
        <color rgb="FFF8696B"/>
      </colorScale>
    </cfRule>
    <cfRule type="colorScale" priority="445">
      <colorScale>
        <cfvo type="min"/>
        <cfvo type="max"/>
        <color rgb="FFFCFCFF"/>
        <color rgb="FFF8696B"/>
      </colorScale>
    </cfRule>
    <cfRule type="colorScale" priority="446">
      <colorScale>
        <cfvo type="min"/>
        <cfvo type="max"/>
        <color rgb="FFFCFCFF"/>
        <color rgb="FFF8696B"/>
      </colorScale>
    </cfRule>
    <cfRule type="colorScale" priority="869">
      <colorScale>
        <cfvo type="min"/>
        <cfvo type="max"/>
        <color rgb="FFFCFCFF"/>
        <color rgb="FFF8696B"/>
      </colorScale>
    </cfRule>
    <cfRule type="colorScale" priority="868">
      <colorScale>
        <cfvo type="min"/>
        <cfvo type="max"/>
        <color rgb="FFFCFCFF"/>
        <color rgb="FFF8696B"/>
      </colorScale>
    </cfRule>
    <cfRule type="colorScale" priority="867">
      <colorScale>
        <cfvo type="min"/>
        <cfvo type="max"/>
        <color rgb="FFF8696B"/>
        <color rgb="FFFCFCFF"/>
      </colorScale>
    </cfRule>
    <cfRule type="colorScale" priority="866">
      <colorScale>
        <cfvo type="min"/>
        <cfvo type="max"/>
        <color rgb="FFFCFCFF"/>
        <color rgb="FFF8696B"/>
      </colorScale>
    </cfRule>
    <cfRule type="colorScale" priority="1289">
      <colorScale>
        <cfvo type="min"/>
        <cfvo type="max"/>
        <color rgb="FFFCFCFF"/>
        <color rgb="FFF8696B"/>
      </colorScale>
    </cfRule>
    <cfRule type="colorScale" priority="1290">
      <colorScale>
        <cfvo type="min"/>
        <cfvo type="max"/>
        <color rgb="FFFCFCFF"/>
        <color rgb="FFF8696B"/>
      </colorScale>
    </cfRule>
    <cfRule type="colorScale" priority="1291">
      <colorScale>
        <cfvo type="min"/>
        <cfvo type="max"/>
        <color rgb="FFFCFCFF"/>
        <color rgb="FFF8696B"/>
      </colorScale>
    </cfRule>
    <cfRule type="colorScale" priority="1292">
      <colorScale>
        <cfvo type="min"/>
        <cfvo type="max"/>
        <color rgb="FFFCFCFF"/>
        <color rgb="FFF8696B"/>
      </colorScale>
    </cfRule>
    <cfRule type="colorScale" priority="1293">
      <colorScale>
        <cfvo type="min"/>
        <cfvo type="max"/>
        <color rgb="FFFCFCFF"/>
        <color rgb="FFF8696B"/>
      </colorScale>
    </cfRule>
    <cfRule type="colorScale" priority="1294">
      <colorScale>
        <cfvo type="min"/>
        <cfvo type="max"/>
        <color rgb="FFFCFCFF"/>
        <color rgb="FFF8696B"/>
      </colorScale>
    </cfRule>
    <cfRule type="colorScale" priority="865">
      <colorScale>
        <cfvo type="min"/>
        <cfvo type="max"/>
        <color rgb="FFFCFCFF"/>
        <color rgb="FFF8696B"/>
      </colorScale>
    </cfRule>
    <cfRule type="colorScale" priority="864">
      <colorScale>
        <cfvo type="min"/>
        <cfvo type="max"/>
        <color rgb="FFFCFCFF"/>
        <color rgb="FFF8696B"/>
      </colorScale>
    </cfRule>
    <cfRule type="colorScale" priority="863">
      <colorScale>
        <cfvo type="min"/>
        <cfvo type="max"/>
        <color rgb="FFFCFCFF"/>
        <color rgb="FFF8696B"/>
      </colorScale>
    </cfRule>
    <cfRule type="colorScale" priority="441">
      <colorScale>
        <cfvo type="min"/>
        <cfvo type="max"/>
        <color rgb="FFFCFCFF"/>
        <color rgb="FFF8696B"/>
      </colorScale>
    </cfRule>
    <cfRule type="colorScale" priority="440">
      <colorScale>
        <cfvo type="min"/>
        <cfvo type="max"/>
        <color rgb="FFFCFCFF"/>
        <color rgb="FFF8696B"/>
      </colorScale>
    </cfRule>
    <cfRule type="colorScale" priority="776">
      <colorScale>
        <cfvo type="min"/>
        <cfvo type="max"/>
        <color rgb="FFFCFCFF"/>
        <color rgb="FFF8696B"/>
      </colorScale>
    </cfRule>
    <cfRule type="colorScale" priority="433">
      <colorScale>
        <cfvo type="min"/>
        <cfvo type="max"/>
        <color rgb="FFFCFCFF"/>
        <color rgb="FFF8696B"/>
      </colorScale>
    </cfRule>
    <cfRule type="colorScale" priority="434">
      <colorScale>
        <cfvo type="min"/>
        <cfvo type="max"/>
        <color rgb="FFFCFCFF"/>
        <color rgb="FFF8696B"/>
      </colorScale>
    </cfRule>
    <cfRule type="colorScale" priority="435">
      <colorScale>
        <cfvo type="min"/>
        <cfvo type="max"/>
        <color rgb="FFFCFCFF"/>
        <color rgb="FFF8696B"/>
      </colorScale>
    </cfRule>
    <cfRule type="colorScale" priority="436">
      <colorScale>
        <cfvo type="min"/>
        <cfvo type="max"/>
        <color rgb="FFFCFCFF"/>
        <color rgb="FFF8696B"/>
      </colorScale>
    </cfRule>
    <cfRule type="colorScale" priority="437">
      <colorScale>
        <cfvo type="min"/>
        <cfvo type="max"/>
        <color rgb="FFFCFCFF"/>
        <color rgb="FFF8696B"/>
      </colorScale>
    </cfRule>
    <cfRule type="colorScale" priority="1295">
      <colorScale>
        <cfvo type="min"/>
        <cfvo type="max"/>
        <color rgb="FFF8696B"/>
        <color rgb="FFFCFCFF"/>
      </colorScale>
    </cfRule>
    <cfRule type="colorScale" priority="1296">
      <colorScale>
        <cfvo type="min"/>
        <cfvo type="max"/>
        <color rgb="FFFCFCFF"/>
        <color rgb="FFF8696B"/>
      </colorScale>
    </cfRule>
    <cfRule type="colorScale" priority="1297">
      <colorScale>
        <cfvo type="min"/>
        <cfvo type="max"/>
        <color rgb="FFFCFCFF"/>
        <color rgb="FFF8696B"/>
      </colorScale>
    </cfRule>
    <cfRule type="colorScale" priority="777">
      <colorScale>
        <cfvo type="min"/>
        <cfvo type="max"/>
        <color rgb="FFFCFCFF"/>
        <color rgb="FFF8696B"/>
      </colorScale>
    </cfRule>
    <cfRule type="colorScale" priority="778">
      <colorScale>
        <cfvo type="min"/>
        <cfvo type="max"/>
        <color rgb="FFF8696B"/>
        <color rgb="FFFCFCFF"/>
      </colorScale>
    </cfRule>
    <cfRule type="colorScale" priority="348">
      <colorScale>
        <cfvo type="min"/>
        <cfvo type="max"/>
        <color rgb="FFFCFCFF"/>
        <color rgb="FFF8696B"/>
      </colorScale>
    </cfRule>
    <cfRule type="colorScale" priority="1301">
      <colorScale>
        <cfvo type="min"/>
        <cfvo type="max"/>
        <color rgb="FFFCFCFF"/>
        <color rgb="FFF8696B"/>
      </colorScale>
    </cfRule>
    <cfRule type="colorScale" priority="1302">
      <colorScale>
        <cfvo type="min"/>
        <cfvo type="max"/>
        <color rgb="FFFCFCFF"/>
        <color rgb="FFF8696B"/>
      </colorScale>
    </cfRule>
    <cfRule type="colorScale" priority="862">
      <colorScale>
        <cfvo type="min"/>
        <cfvo type="max"/>
        <color rgb="FFFCFCFF"/>
        <color rgb="FFF8696B"/>
      </colorScale>
    </cfRule>
    <cfRule type="colorScale" priority="861">
      <colorScale>
        <cfvo type="min"/>
        <cfvo type="max"/>
        <color rgb="FFFCFCFF"/>
        <color rgb="FFF8696B"/>
      </colorScale>
    </cfRule>
    <cfRule type="colorScale" priority="349">
      <colorScale>
        <cfvo type="min"/>
        <cfvo type="max"/>
        <color rgb="FFFCFCFF"/>
        <color rgb="FFF8696B"/>
      </colorScale>
    </cfRule>
    <cfRule type="colorScale" priority="1206">
      <colorScale>
        <cfvo type="min"/>
        <cfvo type="max"/>
        <color rgb="FFF8696B"/>
        <color rgb="FFFCFCFF"/>
      </colorScale>
    </cfRule>
    <cfRule type="colorScale" priority="1205">
      <colorScale>
        <cfvo type="min"/>
        <cfvo type="max"/>
        <color rgb="FFFCFCFF"/>
        <color rgb="FFF8696B"/>
      </colorScale>
    </cfRule>
    <cfRule type="colorScale" priority="1204">
      <colorScale>
        <cfvo type="min"/>
        <cfvo type="max"/>
        <color rgb="FFFCFCFF"/>
        <color rgb="FFF8696B"/>
      </colorScale>
    </cfRule>
    <cfRule type="colorScale" priority="438">
      <colorScale>
        <cfvo type="min"/>
        <cfvo type="max"/>
        <color rgb="FFFCFCFF"/>
        <color rgb="FFF8696B"/>
      </colorScale>
    </cfRule>
    <cfRule type="colorScale" priority="439">
      <colorScale>
        <cfvo type="min"/>
        <cfvo type="max"/>
        <color rgb="FFF8696B"/>
        <color rgb="FFFCFCFF"/>
      </colorScale>
    </cfRule>
    <cfRule type="colorScale" priority="350">
      <colorScale>
        <cfvo type="min"/>
        <cfvo type="max"/>
        <color rgb="FFF8696B"/>
        <color rgb="FFFCFCFF"/>
      </colorScale>
    </cfRule>
    <cfRule type="colorScale" priority="818">
      <colorScale>
        <cfvo type="min"/>
        <cfvo type="max"/>
        <color rgb="FFFCFCFF"/>
        <color rgb="FFF8696B"/>
      </colorScale>
    </cfRule>
    <cfRule type="colorScale" priority="819">
      <colorScale>
        <cfvo type="min"/>
        <cfvo type="max"/>
        <color rgb="FFFCFCFF"/>
        <color rgb="FFF8696B"/>
      </colorScale>
    </cfRule>
    <cfRule type="colorScale" priority="820">
      <colorScale>
        <cfvo type="min"/>
        <cfvo type="max"/>
        <color rgb="FFF8696B"/>
        <color rgb="FFFCFCFF"/>
      </colorScale>
    </cfRule>
    <cfRule type="colorScale" priority="390">
      <colorScale>
        <cfvo type="min"/>
        <cfvo type="max"/>
        <color rgb="FFFCFCFF"/>
        <color rgb="FFF8696B"/>
      </colorScale>
    </cfRule>
    <cfRule type="colorScale" priority="392">
      <colorScale>
        <cfvo type="min"/>
        <cfvo type="max"/>
        <color rgb="FFF8696B"/>
        <color rgb="FFFCFCFF"/>
      </colorScale>
    </cfRule>
    <cfRule type="colorScale" priority="391">
      <colorScale>
        <cfvo type="min"/>
        <cfvo type="max"/>
        <color rgb="FFFCFCFF"/>
        <color rgb="FFF8696B"/>
      </colorScale>
    </cfRule>
  </conditionalFormatting>
  <conditionalFormatting sqref="X42:X44">
    <cfRule type="colorScale" priority="855">
      <colorScale>
        <cfvo type="min"/>
        <cfvo type="max"/>
        <color rgb="FFFCFCFF"/>
        <color rgb="FFF8696B"/>
      </colorScale>
    </cfRule>
    <cfRule type="colorScale" priority="856">
      <colorScale>
        <cfvo type="min"/>
        <cfvo type="max"/>
        <color rgb="FFFCFCFF"/>
        <color rgb="FFF8696B"/>
      </colorScale>
    </cfRule>
    <cfRule type="colorScale" priority="857">
      <colorScale>
        <cfvo type="min"/>
        <cfvo type="max"/>
        <color rgb="FFFCFCFF"/>
        <color rgb="FFF8696B"/>
      </colorScale>
    </cfRule>
    <cfRule type="colorScale" priority="858">
      <colorScale>
        <cfvo type="min"/>
        <cfvo type="max"/>
        <color rgb="FFFCFCFF"/>
        <color rgb="FFF8696B"/>
      </colorScale>
    </cfRule>
    <cfRule type="colorScale" priority="859">
      <colorScale>
        <cfvo type="min"/>
        <cfvo type="max"/>
        <color rgb="FFFCFCFF"/>
        <color rgb="FFF8696B"/>
      </colorScale>
    </cfRule>
    <cfRule type="colorScale" priority="860">
      <colorScale>
        <cfvo type="min"/>
        <cfvo type="max"/>
        <color rgb="FFF8696B"/>
        <color rgb="FFFCFCFF"/>
      </colorScale>
    </cfRule>
    <cfRule type="colorScale" priority="1300">
      <colorScale>
        <cfvo type="min"/>
        <cfvo type="max"/>
        <color rgb="FFF8696B"/>
        <color rgb="FFFCFCFF"/>
      </colorScale>
    </cfRule>
    <cfRule type="colorScale" priority="1299">
      <colorScale>
        <cfvo type="min"/>
        <cfvo type="max"/>
        <color rgb="FFFCFCFF"/>
        <color rgb="FFF8696B"/>
      </colorScale>
    </cfRule>
    <cfRule type="colorScale" priority="1298">
      <colorScale>
        <cfvo type="min"/>
        <cfvo type="max"/>
        <color rgb="FFFCFCFF"/>
        <color rgb="FFF8696B"/>
      </colorScale>
    </cfRule>
    <cfRule type="colorScale" priority="432">
      <colorScale>
        <cfvo type="min"/>
        <cfvo type="max"/>
        <color rgb="FFF8696B"/>
        <color rgb="FFFCFCFF"/>
      </colorScale>
    </cfRule>
    <cfRule type="colorScale" priority="431">
      <colorScale>
        <cfvo type="min"/>
        <cfvo type="max"/>
        <color rgb="FFFCFCFF"/>
        <color rgb="FFF8696B"/>
      </colorScale>
    </cfRule>
    <cfRule type="colorScale" priority="430">
      <colorScale>
        <cfvo type="min"/>
        <cfvo type="max"/>
        <color rgb="FFFCFCFF"/>
        <color rgb="FFF8696B"/>
      </colorScale>
    </cfRule>
    <cfRule type="colorScale" priority="442">
      <colorScale>
        <cfvo type="min"/>
        <cfvo type="max"/>
        <color rgb="FFFCFCFF"/>
        <color rgb="FFF8696B"/>
      </colorScale>
    </cfRule>
    <cfRule type="colorScale" priority="443">
      <colorScale>
        <cfvo type="min"/>
        <cfvo type="max"/>
        <color rgb="FFFCFCFF"/>
        <color rgb="FFF8696B"/>
      </colorScale>
    </cfRule>
    <cfRule type="colorScale" priority="429">
      <colorScale>
        <cfvo type="min"/>
        <cfvo type="max"/>
        <color rgb="FFFCFCFF"/>
        <color rgb="FFF8696B"/>
      </colorScale>
    </cfRule>
    <cfRule type="colorScale" priority="428">
      <colorScale>
        <cfvo type="min"/>
        <cfvo type="max"/>
        <color rgb="FFFCFCFF"/>
        <color rgb="FFF8696B"/>
      </colorScale>
    </cfRule>
    <cfRule type="colorScale" priority="427">
      <colorScale>
        <cfvo type="min"/>
        <cfvo type="max"/>
        <color rgb="FFFCFCFF"/>
        <color rgb="FFF8696B"/>
      </colorScale>
    </cfRule>
    <cfRule type="colorScale" priority="1288">
      <colorScale>
        <cfvo type="min"/>
        <cfvo type="max"/>
        <color rgb="FFF8696B"/>
        <color rgb="FFFCFCFF"/>
      </colorScale>
    </cfRule>
    <cfRule type="colorScale" priority="1287">
      <colorScale>
        <cfvo type="min"/>
        <cfvo type="max"/>
        <color rgb="FFFCFCFF"/>
        <color rgb="FFF8696B"/>
      </colorScale>
    </cfRule>
    <cfRule type="colorScale" priority="1286">
      <colorScale>
        <cfvo type="min"/>
        <cfvo type="max"/>
        <color rgb="FFFCFCFF"/>
        <color rgb="FFF8696B"/>
      </colorScale>
    </cfRule>
    <cfRule type="colorScale" priority="1285">
      <colorScale>
        <cfvo type="min"/>
        <cfvo type="max"/>
        <color rgb="FFFCFCFF"/>
        <color rgb="FFF8696B"/>
      </colorScale>
    </cfRule>
    <cfRule type="colorScale" priority="870">
      <colorScale>
        <cfvo type="min"/>
        <cfvo type="max"/>
        <color rgb="FFFCFCFF"/>
        <color rgb="FFF8696B"/>
      </colorScale>
    </cfRule>
    <cfRule type="colorScale" priority="871">
      <colorScale>
        <cfvo type="min"/>
        <cfvo type="max"/>
        <color rgb="FFFCFCFF"/>
        <color rgb="FFF8696B"/>
      </colorScale>
    </cfRule>
    <cfRule type="colorScale" priority="872">
      <colorScale>
        <cfvo type="min"/>
        <cfvo type="max"/>
        <color rgb="FFF8696B"/>
        <color rgb="FFFCFCFF"/>
      </colorScale>
    </cfRule>
    <cfRule type="colorScale" priority="1284">
      <colorScale>
        <cfvo type="min"/>
        <cfvo type="max"/>
        <color rgb="FFFCFCFF"/>
        <color rgb="FFF8696B"/>
      </colorScale>
    </cfRule>
    <cfRule type="colorScale" priority="1283">
      <colorScale>
        <cfvo type="min"/>
        <cfvo type="max"/>
        <color rgb="FFFCFCFF"/>
        <color rgb="FFF8696B"/>
      </colorScale>
    </cfRule>
    <cfRule type="colorScale" priority="444">
      <colorScale>
        <cfvo type="min"/>
        <cfvo type="max"/>
        <color rgb="FFF8696B"/>
        <color rgb="FFFCFCFF"/>
      </colorScale>
    </cfRule>
  </conditionalFormatting>
  <conditionalFormatting sqref="X43:X44">
    <cfRule type="colorScale" priority="1198">
      <colorScale>
        <cfvo type="min"/>
        <cfvo type="max"/>
        <color rgb="FFFCFCFF"/>
        <color rgb="FFF8696B"/>
      </colorScale>
    </cfRule>
    <cfRule type="colorScale" priority="1199">
      <colorScale>
        <cfvo type="min"/>
        <cfvo type="max"/>
        <color rgb="FFFCFCFF"/>
        <color rgb="FFF8696B"/>
      </colorScale>
    </cfRule>
    <cfRule type="colorScale" priority="1200">
      <colorScale>
        <cfvo type="min"/>
        <cfvo type="max"/>
        <color rgb="FFF8696B"/>
        <color rgb="FFFCFCFF"/>
      </colorScale>
    </cfRule>
    <cfRule type="colorScale" priority="1201">
      <colorScale>
        <cfvo type="min"/>
        <cfvo type="max"/>
        <color rgb="FFFCFCFF"/>
        <color rgb="FFF8696B"/>
      </colorScale>
    </cfRule>
    <cfRule type="colorScale" priority="1202">
      <colorScale>
        <cfvo type="min"/>
        <cfvo type="max"/>
        <color rgb="FFFCFCFF"/>
        <color rgb="FFF8696B"/>
      </colorScale>
    </cfRule>
    <cfRule type="colorScale" priority="1203">
      <colorScale>
        <cfvo type="min"/>
        <cfvo type="max"/>
        <color rgb="FFFCFCFF"/>
        <color rgb="FFF8696B"/>
      </colorScale>
    </cfRule>
    <cfRule type="colorScale" priority="1221">
      <colorScale>
        <cfvo type="min"/>
        <cfvo type="max"/>
        <color rgb="FFFCFCFF"/>
        <color rgb="FFF8696B"/>
      </colorScale>
    </cfRule>
    <cfRule type="colorScale" priority="1222">
      <colorScale>
        <cfvo type="min"/>
        <cfvo type="max"/>
        <color rgb="FFFCFCFF"/>
        <color rgb="FFF8696B"/>
      </colorScale>
    </cfRule>
    <cfRule type="colorScale" priority="1223">
      <colorScale>
        <cfvo type="min"/>
        <cfvo type="max"/>
        <color rgb="FFFCFCFF"/>
        <color rgb="FFF8696B"/>
      </colorScale>
    </cfRule>
    <cfRule type="colorScale" priority="1224">
      <colorScale>
        <cfvo type="min"/>
        <cfvo type="max"/>
        <color rgb="FFF8696B"/>
        <color rgb="FFFCFCFF"/>
      </colorScale>
    </cfRule>
    <cfRule type="colorScale" priority="771">
      <colorScale>
        <cfvo type="min"/>
        <cfvo type="max"/>
        <color rgb="FFFCFCFF"/>
        <color rgb="FFF8696B"/>
      </colorScale>
    </cfRule>
    <cfRule type="colorScale" priority="772">
      <colorScale>
        <cfvo type="min"/>
        <cfvo type="max"/>
        <color rgb="FFF8696B"/>
        <color rgb="FFFCFCFF"/>
      </colorScale>
    </cfRule>
    <cfRule type="colorScale" priority="1245">
      <colorScale>
        <cfvo type="min"/>
        <cfvo type="max"/>
        <color rgb="FFFCFCFF"/>
        <color rgb="FFF8696B"/>
      </colorScale>
    </cfRule>
    <cfRule type="colorScale" priority="773">
      <colorScale>
        <cfvo type="min"/>
        <cfvo type="max"/>
        <color rgb="FFFCFCFF"/>
        <color rgb="FFF8696B"/>
      </colorScale>
    </cfRule>
    <cfRule type="colorScale" priority="774">
      <colorScale>
        <cfvo type="min"/>
        <cfvo type="max"/>
        <color rgb="FFFCFCFF"/>
        <color rgb="FFF8696B"/>
      </colorScale>
    </cfRule>
    <cfRule type="colorScale" priority="775">
      <colorScale>
        <cfvo type="min"/>
        <cfvo type="max"/>
        <color rgb="FFFCFCFF"/>
        <color rgb="FFF8696B"/>
      </colorScale>
    </cfRule>
    <cfRule type="colorScale" priority="793">
      <colorScale>
        <cfvo type="min"/>
        <cfvo type="max"/>
        <color rgb="FFFCFCFF"/>
        <color rgb="FFF8696B"/>
      </colorScale>
    </cfRule>
    <cfRule type="colorScale" priority="1232">
      <colorScale>
        <cfvo type="min"/>
        <cfvo type="max"/>
        <color rgb="FFFCFCFF"/>
        <color rgb="FFF8696B"/>
      </colorScale>
    </cfRule>
    <cfRule type="colorScale" priority="1233">
      <colorScale>
        <cfvo type="min"/>
        <cfvo type="max"/>
        <color rgb="FFFCFCFF"/>
        <color rgb="FFF8696B"/>
      </colorScale>
    </cfRule>
    <cfRule type="colorScale" priority="1234">
      <colorScale>
        <cfvo type="min"/>
        <cfvo type="max"/>
        <color rgb="FFF8696B"/>
        <color rgb="FFFCFCFF"/>
      </colorScale>
    </cfRule>
    <cfRule type="colorScale" priority="1240">
      <colorScale>
        <cfvo type="min"/>
        <cfvo type="max"/>
        <color rgb="FFFCFCFF"/>
        <color rgb="FFF8696B"/>
      </colorScale>
    </cfRule>
    <cfRule type="colorScale" priority="1241">
      <colorScale>
        <cfvo type="min"/>
        <cfvo type="max"/>
        <color rgb="FFFCFCFF"/>
        <color rgb="FFF8696B"/>
      </colorScale>
    </cfRule>
    <cfRule type="colorScale" priority="1242">
      <colorScale>
        <cfvo type="min"/>
        <cfvo type="max"/>
        <color rgb="FFF8696B"/>
        <color rgb="FFFCFCFF"/>
      </colorScale>
    </cfRule>
    <cfRule type="colorScale" priority="420">
      <colorScale>
        <cfvo type="min"/>
        <cfvo type="max"/>
        <color rgb="FFF8696B"/>
        <color rgb="FFFCFCFF"/>
      </colorScale>
    </cfRule>
    <cfRule type="colorScale" priority="419">
      <colorScale>
        <cfvo type="min"/>
        <cfvo type="max"/>
        <color rgb="FFFCFCFF"/>
        <color rgb="FFF8696B"/>
      </colorScale>
    </cfRule>
    <cfRule type="colorScale" priority="418">
      <colorScale>
        <cfvo type="min"/>
        <cfvo type="max"/>
        <color rgb="FFFCFCFF"/>
        <color rgb="FFF8696B"/>
      </colorScale>
    </cfRule>
    <cfRule type="colorScale" priority="794">
      <colorScale>
        <cfvo type="min"/>
        <cfvo type="max"/>
        <color rgb="FFFCFCFF"/>
        <color rgb="FFF8696B"/>
      </colorScale>
    </cfRule>
    <cfRule type="colorScale" priority="795">
      <colorScale>
        <cfvo type="min"/>
        <cfvo type="max"/>
        <color rgb="FFFCFCFF"/>
        <color rgb="FFF8696B"/>
      </colorScale>
    </cfRule>
    <cfRule type="colorScale" priority="796">
      <colorScale>
        <cfvo type="min"/>
        <cfvo type="max"/>
        <color rgb="FFF8696B"/>
        <color rgb="FFFCFCFF"/>
      </colorScale>
    </cfRule>
    <cfRule type="colorScale" priority="342">
      <colorScale>
        <cfvo type="min"/>
        <cfvo type="max"/>
        <color rgb="FFFCFCFF"/>
        <color rgb="FFF8696B"/>
      </colorScale>
    </cfRule>
    <cfRule type="colorScale" priority="343">
      <colorScale>
        <cfvo type="min"/>
        <cfvo type="max"/>
        <color rgb="FFFCFCFF"/>
        <color rgb="FFF8696B"/>
      </colorScale>
    </cfRule>
    <cfRule type="colorScale" priority="344">
      <colorScale>
        <cfvo type="min"/>
        <cfvo type="max"/>
        <color rgb="FFF8696B"/>
        <color rgb="FFFCFCFF"/>
      </colorScale>
    </cfRule>
    <cfRule type="colorScale" priority="1243">
      <colorScale>
        <cfvo type="min"/>
        <cfvo type="max"/>
        <color rgb="FFFCFCFF"/>
        <color rgb="FFF8696B"/>
      </colorScale>
    </cfRule>
    <cfRule type="colorScale" priority="410">
      <colorScale>
        <cfvo type="min"/>
        <cfvo type="max"/>
        <color rgb="FFF8696B"/>
        <color rgb="FFFCFCFF"/>
      </colorScale>
    </cfRule>
    <cfRule type="colorScale" priority="409">
      <colorScale>
        <cfvo type="min"/>
        <cfvo type="max"/>
        <color rgb="FFFCFCFF"/>
        <color rgb="FFF8696B"/>
      </colorScale>
    </cfRule>
    <cfRule type="colorScale" priority="408">
      <colorScale>
        <cfvo type="min"/>
        <cfvo type="max"/>
        <color rgb="FFFCFCFF"/>
        <color rgb="FFF8696B"/>
      </colorScale>
    </cfRule>
    <cfRule type="colorScale" priority="407">
      <colorScale>
        <cfvo type="min"/>
        <cfvo type="max"/>
        <color rgb="FFFCFCFF"/>
        <color rgb="FFF8696B"/>
      </colorScale>
    </cfRule>
    <cfRule type="colorScale" priority="1244">
      <colorScale>
        <cfvo type="min"/>
        <cfvo type="max"/>
        <color rgb="FFFCFCFF"/>
        <color rgb="FFF8696B"/>
      </colorScale>
    </cfRule>
    <cfRule type="colorScale" priority="1263">
      <colorScale>
        <cfvo type="min"/>
        <cfvo type="max"/>
        <color rgb="FFFCFCFF"/>
        <color rgb="FFF8696B"/>
      </colorScale>
    </cfRule>
    <cfRule type="colorScale" priority="1264">
      <colorScale>
        <cfvo type="min"/>
        <cfvo type="max"/>
        <color rgb="FFFCFCFF"/>
        <color rgb="FFF8696B"/>
      </colorScale>
    </cfRule>
    <cfRule type="colorScale" priority="1265">
      <colorScale>
        <cfvo type="min"/>
        <cfvo type="max"/>
        <color rgb="FFFCFCFF"/>
        <color rgb="FFF8696B"/>
      </colorScale>
    </cfRule>
    <cfRule type="colorScale" priority="1266">
      <colorScale>
        <cfvo type="min"/>
        <cfvo type="max"/>
        <color rgb="FFF8696B"/>
        <color rgb="FFFCFCFF"/>
      </colorScale>
    </cfRule>
    <cfRule type="colorScale" priority="345">
      <colorScale>
        <cfvo type="min"/>
        <cfvo type="max"/>
        <color rgb="FFFCFCFF"/>
        <color rgb="FFF8696B"/>
      </colorScale>
    </cfRule>
    <cfRule type="colorScale" priority="346">
      <colorScale>
        <cfvo type="min"/>
        <cfvo type="max"/>
        <color rgb="FFFCFCFF"/>
        <color rgb="FFF8696B"/>
      </colorScale>
    </cfRule>
    <cfRule type="colorScale" priority="347">
      <colorScale>
        <cfvo type="min"/>
        <cfvo type="max"/>
        <color rgb="FFFCFCFF"/>
        <color rgb="FFF8696B"/>
      </colorScale>
    </cfRule>
    <cfRule type="colorScale" priority="804">
      <colorScale>
        <cfvo type="min"/>
        <cfvo type="max"/>
        <color rgb="FFFCFCFF"/>
        <color rgb="FFF8696B"/>
      </colorScale>
    </cfRule>
    <cfRule type="colorScale" priority="805">
      <colorScale>
        <cfvo type="min"/>
        <cfvo type="max"/>
        <color rgb="FFFCFCFF"/>
        <color rgb="FFF8696B"/>
      </colorScale>
    </cfRule>
    <cfRule type="colorScale" priority="806">
      <colorScale>
        <cfvo type="min"/>
        <cfvo type="max"/>
        <color rgb="FFF8696B"/>
        <color rgb="FFFCFCFF"/>
      </colorScale>
    </cfRule>
    <cfRule type="colorScale" priority="812">
      <colorScale>
        <cfvo type="min"/>
        <cfvo type="max"/>
        <color rgb="FFFCFCFF"/>
        <color rgb="FFF8696B"/>
      </colorScale>
    </cfRule>
    <cfRule type="colorScale" priority="813">
      <colorScale>
        <cfvo type="min"/>
        <cfvo type="max"/>
        <color rgb="FFFCFCFF"/>
        <color rgb="FFF8696B"/>
      </colorScale>
    </cfRule>
    <cfRule type="colorScale" priority="814">
      <colorScale>
        <cfvo type="min"/>
        <cfvo type="max"/>
        <color rgb="FFF8696B"/>
        <color rgb="FFFCFCFF"/>
      </colorScale>
    </cfRule>
    <cfRule type="colorScale" priority="815">
      <colorScale>
        <cfvo type="min"/>
        <cfvo type="max"/>
        <color rgb="FFFCFCFF"/>
        <color rgb="FFF8696B"/>
      </colorScale>
    </cfRule>
    <cfRule type="colorScale" priority="816">
      <colorScale>
        <cfvo type="min"/>
        <cfvo type="max"/>
        <color rgb="FFFCFCFF"/>
        <color rgb="FFF8696B"/>
      </colorScale>
    </cfRule>
    <cfRule type="colorScale" priority="817">
      <colorScale>
        <cfvo type="min"/>
        <cfvo type="max"/>
        <color rgb="FFFCFCFF"/>
        <color rgb="FFF8696B"/>
      </colorScale>
    </cfRule>
    <cfRule type="colorScale" priority="835">
      <colorScale>
        <cfvo type="min"/>
        <cfvo type="max"/>
        <color rgb="FFFCFCFF"/>
        <color rgb="FFF8696B"/>
      </colorScale>
    </cfRule>
    <cfRule type="colorScale" priority="836">
      <colorScale>
        <cfvo type="min"/>
        <cfvo type="max"/>
        <color rgb="FFFCFCFF"/>
        <color rgb="FFF8696B"/>
      </colorScale>
    </cfRule>
    <cfRule type="colorScale" priority="1274">
      <colorScale>
        <cfvo type="min"/>
        <cfvo type="max"/>
        <color rgb="FFFCFCFF"/>
        <color rgb="FFF8696B"/>
      </colorScale>
    </cfRule>
    <cfRule type="colorScale" priority="1275">
      <colorScale>
        <cfvo type="min"/>
        <cfvo type="max"/>
        <color rgb="FFFCFCFF"/>
        <color rgb="FFF8696B"/>
      </colorScale>
    </cfRule>
    <cfRule type="colorScale" priority="1276">
      <colorScale>
        <cfvo type="min"/>
        <cfvo type="max"/>
        <color rgb="FFF8696B"/>
        <color rgb="FFFCFCFF"/>
      </colorScale>
    </cfRule>
    <cfRule type="colorScale" priority="848">
      <colorScale>
        <cfvo type="min"/>
        <cfvo type="max"/>
        <color rgb="FFF8696B"/>
        <color rgb="FFFCFCFF"/>
      </colorScale>
    </cfRule>
    <cfRule type="colorScale" priority="847">
      <colorScale>
        <cfvo type="min"/>
        <cfvo type="max"/>
        <color rgb="FFFCFCFF"/>
        <color rgb="FFF8696B"/>
      </colorScale>
    </cfRule>
    <cfRule type="colorScale" priority="770">
      <colorScale>
        <cfvo type="min"/>
        <cfvo type="max"/>
        <color rgb="FFFCFCFF"/>
        <color rgb="FFF8696B"/>
      </colorScale>
    </cfRule>
    <cfRule type="colorScale" priority="389">
      <colorScale>
        <cfvo type="min"/>
        <cfvo type="max"/>
        <color rgb="FFFCFCFF"/>
        <color rgb="FFF8696B"/>
      </colorScale>
    </cfRule>
    <cfRule type="colorScale" priority="388">
      <colorScale>
        <cfvo type="min"/>
        <cfvo type="max"/>
        <color rgb="FFFCFCFF"/>
        <color rgb="FFF8696B"/>
      </colorScale>
    </cfRule>
    <cfRule type="colorScale" priority="387">
      <colorScale>
        <cfvo type="min"/>
        <cfvo type="max"/>
        <color rgb="FFFCFCFF"/>
        <color rgb="FFF8696B"/>
      </colorScale>
    </cfRule>
    <cfRule type="colorScale" priority="386">
      <colorScale>
        <cfvo type="min"/>
        <cfvo type="max"/>
        <color rgb="FFF8696B"/>
        <color rgb="FFFCFCFF"/>
      </colorScale>
    </cfRule>
    <cfRule type="colorScale" priority="385">
      <colorScale>
        <cfvo type="min"/>
        <cfvo type="max"/>
        <color rgb="FFFCFCFF"/>
        <color rgb="FFF8696B"/>
      </colorScale>
    </cfRule>
    <cfRule type="colorScale" priority="384">
      <colorScale>
        <cfvo type="min"/>
        <cfvo type="max"/>
        <color rgb="FFFCFCFF"/>
        <color rgb="FFF8696B"/>
      </colorScale>
    </cfRule>
    <cfRule type="colorScale" priority="846">
      <colorScale>
        <cfvo type="min"/>
        <cfvo type="max"/>
        <color rgb="FFFCFCFF"/>
        <color rgb="FFF8696B"/>
      </colorScale>
    </cfRule>
    <cfRule type="colorScale" priority="837">
      <colorScale>
        <cfvo type="min"/>
        <cfvo type="max"/>
        <color rgb="FFFCFCFF"/>
        <color rgb="FFF8696B"/>
      </colorScale>
    </cfRule>
    <cfRule type="colorScale" priority="838">
      <colorScale>
        <cfvo type="min"/>
        <cfvo type="max"/>
        <color rgb="FFF8696B"/>
        <color rgb="FFFCFCFF"/>
      </colorScale>
    </cfRule>
    <cfRule type="colorScale" priority="365">
      <colorScale>
        <cfvo type="min"/>
        <cfvo type="max"/>
        <color rgb="FFFCFCFF"/>
        <color rgb="FFF8696B"/>
      </colorScale>
    </cfRule>
    <cfRule type="colorScale" priority="366">
      <colorScale>
        <cfvo type="min"/>
        <cfvo type="max"/>
        <color rgb="FFFCFCFF"/>
        <color rgb="FFF8696B"/>
      </colorScale>
    </cfRule>
    <cfRule type="colorScale" priority="378">
      <colorScale>
        <cfvo type="min"/>
        <cfvo type="max"/>
        <color rgb="FFF8696B"/>
        <color rgb="FFFCFCFF"/>
      </colorScale>
    </cfRule>
    <cfRule type="colorScale" priority="377">
      <colorScale>
        <cfvo type="min"/>
        <cfvo type="max"/>
        <color rgb="FFFCFCFF"/>
        <color rgb="FFF8696B"/>
      </colorScale>
    </cfRule>
    <cfRule type="colorScale" priority="376">
      <colorScale>
        <cfvo type="min"/>
        <cfvo type="max"/>
        <color rgb="FFFCFCFF"/>
        <color rgb="FFF8696B"/>
      </colorScale>
    </cfRule>
    <cfRule type="colorScale" priority="367">
      <colorScale>
        <cfvo type="min"/>
        <cfvo type="max"/>
        <color rgb="FFFCFCFF"/>
        <color rgb="FFF8696B"/>
      </colorScale>
    </cfRule>
    <cfRule type="colorScale" priority="368">
      <colorScale>
        <cfvo type="min"/>
        <cfvo type="max"/>
        <color rgb="FFF8696B"/>
        <color rgb="FFFCFCFF"/>
      </colorScale>
    </cfRule>
  </conditionalFormatting>
  <conditionalFormatting sqref="X44">
    <cfRule type="colorScale" priority="373">
      <colorScale>
        <cfvo type="min"/>
        <cfvo type="max"/>
        <color rgb="FFFCFCFF"/>
        <color rgb="FFF8696B"/>
      </colorScale>
    </cfRule>
    <cfRule type="colorScale" priority="372">
      <colorScale>
        <cfvo type="min"/>
        <cfvo type="max"/>
        <color rgb="FFF8696B"/>
        <color rgb="FFFCFCFF"/>
      </colorScale>
    </cfRule>
    <cfRule type="colorScale" priority="371">
      <colorScale>
        <cfvo type="min"/>
        <cfvo type="max"/>
        <color rgb="FFFCFCFF"/>
        <color rgb="FFF8696B"/>
      </colorScale>
    </cfRule>
    <cfRule type="colorScale" priority="370">
      <colorScale>
        <cfvo type="min"/>
        <cfvo type="max"/>
        <color rgb="FFFCFCFF"/>
        <color rgb="FFF8696B"/>
      </colorScale>
    </cfRule>
    <cfRule type="colorScale" priority="841">
      <colorScale>
        <cfvo type="min"/>
        <cfvo type="max"/>
        <color rgb="FFFCFCFF"/>
        <color rgb="FFF8696B"/>
      </colorScale>
    </cfRule>
    <cfRule type="colorScale" priority="374">
      <colorScale>
        <cfvo type="min"/>
        <cfvo type="max"/>
        <color rgb="FFFCFCFF"/>
        <color rgb="FFF8696B"/>
      </colorScale>
    </cfRule>
    <cfRule type="colorScale" priority="375">
      <colorScale>
        <cfvo type="min"/>
        <cfvo type="max"/>
        <color rgb="FFF8696B"/>
        <color rgb="FFFCFCFF"/>
      </colorScale>
    </cfRule>
    <cfRule type="colorScale" priority="842">
      <colorScale>
        <cfvo type="min"/>
        <cfvo type="max"/>
        <color rgb="FFF8696B"/>
        <color rgb="FFFCFCFF"/>
      </colorScale>
    </cfRule>
    <cfRule type="colorScale" priority="843">
      <colorScale>
        <cfvo type="min"/>
        <cfvo type="max"/>
        <color rgb="FFFCFCFF"/>
        <color rgb="FFF8696B"/>
      </colorScale>
    </cfRule>
    <cfRule type="colorScale" priority="840">
      <colorScale>
        <cfvo type="min"/>
        <cfvo type="max"/>
        <color rgb="FFFCFCFF"/>
        <color rgb="FFF8696B"/>
      </colorScale>
    </cfRule>
    <cfRule type="colorScale" priority="844">
      <colorScale>
        <cfvo type="min"/>
        <cfvo type="max"/>
        <color rgb="FFFCFCFF"/>
        <color rgb="FFF8696B"/>
      </colorScale>
    </cfRule>
    <cfRule type="colorScale" priority="845">
      <colorScale>
        <cfvo type="min"/>
        <cfvo type="max"/>
        <color rgb="FFF8696B"/>
        <color rgb="FFFCFCFF"/>
      </colorScale>
    </cfRule>
    <cfRule type="colorScale" priority="1273">
      <colorScale>
        <cfvo type="min"/>
        <cfvo type="max"/>
        <color rgb="FFF8696B"/>
        <color rgb="FFFCFCFF"/>
      </colorScale>
    </cfRule>
    <cfRule type="colorScale" priority="1226">
      <colorScale>
        <cfvo type="min"/>
        <cfvo type="max"/>
        <color rgb="FFFCFCFF"/>
        <color rgb="FFF8696B"/>
      </colorScale>
    </cfRule>
    <cfRule type="colorScale" priority="1227">
      <colorScale>
        <cfvo type="min"/>
        <cfvo type="max"/>
        <color rgb="FFFCFCFF"/>
        <color rgb="FFF8696B"/>
      </colorScale>
    </cfRule>
    <cfRule type="colorScale" priority="1228">
      <colorScale>
        <cfvo type="min"/>
        <cfvo type="max"/>
        <color rgb="FFF8696B"/>
        <color rgb="FFFCFCFF"/>
      </colorScale>
    </cfRule>
    <cfRule type="colorScale" priority="1229">
      <colorScale>
        <cfvo type="min"/>
        <cfvo type="max"/>
        <color rgb="FFFCFCFF"/>
        <color rgb="FFF8696B"/>
      </colorScale>
    </cfRule>
    <cfRule type="colorScale" priority="1230">
      <colorScale>
        <cfvo type="min"/>
        <cfvo type="max"/>
        <color rgb="FFFCFCFF"/>
        <color rgb="FFF8696B"/>
      </colorScale>
    </cfRule>
    <cfRule type="colorScale" priority="1231">
      <colorScale>
        <cfvo type="min"/>
        <cfvo type="max"/>
        <color rgb="FFF8696B"/>
        <color rgb="FFFCFCFF"/>
      </colorScale>
    </cfRule>
    <cfRule type="colorScale" priority="417">
      <colorScale>
        <cfvo type="min"/>
        <cfvo type="max"/>
        <color rgb="FFF8696B"/>
        <color rgb="FFFCFCFF"/>
      </colorScale>
    </cfRule>
    <cfRule type="colorScale" priority="416">
      <colorScale>
        <cfvo type="min"/>
        <cfvo type="max"/>
        <color rgb="FFFCFCFF"/>
        <color rgb="FFF8696B"/>
      </colorScale>
    </cfRule>
    <cfRule type="colorScale" priority="1272">
      <colorScale>
        <cfvo type="min"/>
        <cfvo type="max"/>
        <color rgb="FFFCFCFF"/>
        <color rgb="FFF8696B"/>
      </colorScale>
    </cfRule>
    <cfRule type="colorScale" priority="1271">
      <colorScale>
        <cfvo type="min"/>
        <cfvo type="max"/>
        <color rgb="FFFCFCFF"/>
        <color rgb="FFF8696B"/>
      </colorScale>
    </cfRule>
    <cfRule type="colorScale" priority="803">
      <colorScale>
        <cfvo type="min"/>
        <cfvo type="max"/>
        <color rgb="FFF8696B"/>
        <color rgb="FFFCFCFF"/>
      </colorScale>
    </cfRule>
    <cfRule type="colorScale" priority="802">
      <colorScale>
        <cfvo type="min"/>
        <cfvo type="max"/>
        <color rgb="FFFCFCFF"/>
        <color rgb="FFF8696B"/>
      </colorScale>
    </cfRule>
    <cfRule type="colorScale" priority="801">
      <colorScale>
        <cfvo type="min"/>
        <cfvo type="max"/>
        <color rgb="FFFCFCFF"/>
        <color rgb="FFF8696B"/>
      </colorScale>
    </cfRule>
    <cfRule type="colorScale" priority="1270">
      <colorScale>
        <cfvo type="min"/>
        <cfvo type="max"/>
        <color rgb="FFF8696B"/>
        <color rgb="FFFCFCFF"/>
      </colorScale>
    </cfRule>
    <cfRule type="colorScale" priority="1269">
      <colorScale>
        <cfvo type="min"/>
        <cfvo type="max"/>
        <color rgb="FFFCFCFF"/>
        <color rgb="FFF8696B"/>
      </colorScale>
    </cfRule>
    <cfRule type="colorScale" priority="1268">
      <colorScale>
        <cfvo type="min"/>
        <cfvo type="max"/>
        <color rgb="FFFCFCFF"/>
        <color rgb="FFF8696B"/>
      </colorScale>
    </cfRule>
    <cfRule type="colorScale" priority="412">
      <colorScale>
        <cfvo type="min"/>
        <cfvo type="max"/>
        <color rgb="FFFCFCFF"/>
        <color rgb="FFF8696B"/>
      </colorScale>
    </cfRule>
    <cfRule type="colorScale" priority="413">
      <colorScale>
        <cfvo type="min"/>
        <cfvo type="max"/>
        <color rgb="FFFCFCFF"/>
        <color rgb="FFF8696B"/>
      </colorScale>
    </cfRule>
    <cfRule type="colorScale" priority="414">
      <colorScale>
        <cfvo type="min"/>
        <cfvo type="max"/>
        <color rgb="FFF8696B"/>
        <color rgb="FFFCFCFF"/>
      </colorScale>
    </cfRule>
    <cfRule type="colorScale" priority="800">
      <colorScale>
        <cfvo type="min"/>
        <cfvo type="max"/>
        <color rgb="FFF8696B"/>
        <color rgb="FFFCFCFF"/>
      </colorScale>
    </cfRule>
    <cfRule type="colorScale" priority="799">
      <colorScale>
        <cfvo type="min"/>
        <cfvo type="max"/>
        <color rgb="FFFCFCFF"/>
        <color rgb="FFF8696B"/>
      </colorScale>
    </cfRule>
    <cfRule type="colorScale" priority="798">
      <colorScale>
        <cfvo type="min"/>
        <cfvo type="max"/>
        <color rgb="FFFCFCFF"/>
        <color rgb="FFF8696B"/>
      </colorScale>
    </cfRule>
    <cfRule type="colorScale" priority="415">
      <colorScale>
        <cfvo type="min"/>
        <cfvo type="max"/>
        <color rgb="FFFCFCFF"/>
        <color rgb="FFF8696B"/>
      </colorScale>
    </cfRule>
  </conditionalFormatting>
  <conditionalFormatting sqref="Y10:Y15">
    <cfRule type="colorScale" priority="2299">
      <colorScale>
        <cfvo type="min"/>
        <cfvo type="max"/>
        <color rgb="FFFCFCFF"/>
        <color rgb="FFF8696B"/>
      </colorScale>
    </cfRule>
  </conditionalFormatting>
  <conditionalFormatting sqref="Y29:Y30 B38:K44 O29:W30 M29:N44 D39:L39 B40:L40 D41:L41 C42:L42 D43:L43 C44:L44 P29:X29 O30:X30 O31:Y44">
    <cfRule type="colorScale" priority="2306">
      <colorScale>
        <cfvo type="min"/>
        <cfvo type="max"/>
        <color rgb="FFFCFCFF"/>
        <color rgb="FFF8696B"/>
      </colorScale>
    </cfRule>
  </conditionalFormatting>
  <conditionalFormatting sqref="Y29:Y30 N31:Y33 O34:Y44">
    <cfRule type="colorScale" priority="2237">
      <colorScale>
        <cfvo type="min"/>
        <cfvo type="max"/>
        <color rgb="FFF8696B"/>
        <color rgb="FFFCFCFF"/>
      </colorScale>
    </cfRule>
    <cfRule type="colorScale" priority="2236">
      <colorScale>
        <cfvo type="min"/>
        <cfvo type="max"/>
        <color rgb="FFFCFCFF"/>
        <color rgb="FFF8696B"/>
      </colorScale>
    </cfRule>
  </conditionalFormatting>
  <conditionalFormatting sqref="Y29:Y30 O31:Y44">
    <cfRule type="colorScale" priority="2233">
      <colorScale>
        <cfvo type="min"/>
        <cfvo type="max"/>
        <color rgb="FFFCFCFF"/>
        <color rgb="FFF8696B"/>
      </colorScale>
    </cfRule>
    <cfRule type="colorScale" priority="2230">
      <colorScale>
        <cfvo type="min"/>
        <cfvo type="max"/>
        <color rgb="FFFCFCFF"/>
        <color rgb="FFF8696B"/>
      </colorScale>
    </cfRule>
    <cfRule type="colorScale" priority="2235">
      <colorScale>
        <cfvo type="min"/>
        <cfvo type="max"/>
        <color rgb="FFF8696B"/>
        <color rgb="FFFCFCFF"/>
      </colorScale>
    </cfRule>
    <cfRule type="colorScale" priority="2232">
      <colorScale>
        <cfvo type="min"/>
        <cfvo type="max"/>
        <color rgb="FFFCFCFF"/>
        <color rgb="FFF8696B"/>
      </colorScale>
    </cfRule>
    <cfRule type="colorScale" priority="2231">
      <colorScale>
        <cfvo type="min"/>
        <cfvo type="max"/>
        <color rgb="FFFCFCFF"/>
        <color rgb="FFF8696B"/>
      </colorScale>
    </cfRule>
    <cfRule type="colorScale" priority="223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Hsiao, Jason</dc:creator>
  <cp:lastModifiedBy>Hsiao, Jason</cp:lastModifiedBy>
  <dcterms:created xsi:type="dcterms:W3CDTF">2025-12-19T21:03:33Z</dcterms:created>
  <dcterms:modified xsi:type="dcterms:W3CDTF">2026-02-27T02:54:04Z</dcterms:modified>
</cp:coreProperties>
</file>